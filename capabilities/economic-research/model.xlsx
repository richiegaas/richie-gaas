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ichi\AppData\Local\Temp\mx\"/>
    </mc:Choice>
  </mc:AlternateContent>
  <xr:revisionPtr revIDLastSave="0" documentId="8_{18976A0C-88FC-4CDF-883A-7A9AE54E329A}" xr6:coauthVersionLast="47" xr6:coauthVersionMax="47" xr10:uidLastSave="{00000000-0000-0000-0000-000000000000}"/>
  <bookViews>
    <workbookView xWindow="-96" yWindow="-96" windowWidth="23232" windowHeight="12432" tabRatio="500" xr2:uid="{00000000-000D-0000-FFFF-FFFF00000000}"/>
  </bookViews>
  <sheets>
    <sheet name="Model" sheetId="1" r:id="rId1"/>
    <sheet name="Table 2" sheetId="2" r:id="rId2"/>
    <sheet name="Scenarios" sheetId="3" r:id="rId3"/>
    <sheet name="Solver Model" sheetId="4" r:id="rId4"/>
  </sheets>
  <definedNames>
    <definedName name="ACTIVE_RAID">Model!$B$31</definedName>
    <definedName name="AEGIS_ALLOWED">Model!$B$166</definedName>
    <definedName name="AEGIS_CELL_SLACK">Model!$B$61</definedName>
    <definedName name="AEGIS_CELLS_USED">Model!$B$60</definedName>
    <definedName name="AEGIS_SITES">Model!$B$103</definedName>
    <definedName name="ALL_VALID">Model!$B$89</definedName>
    <definedName name="ALLOWED">Model!$B$157:$G$159</definedName>
    <definedName name="ALLOWED_NOW">Model!$B$160:$G$160</definedName>
    <definedName name="BUDGET">Model!$B$23</definedName>
    <definedName name="BUILD_AEGIS">Model!$B$41</definedName>
    <definedName name="BUILD_THAAD">Model!$D$41</definedName>
    <definedName name="CAP">Model!$B$13:$G$13</definedName>
    <definedName name="CAP_SLACK">Model!$B$67:$G$67</definedName>
    <definedName name="COVERED_FRACTION">Model!$B$116</definedName>
    <definedName name="D">Model!$B$50:$E$50</definedName>
    <definedName name="D_COVERED">Model!$B$125:$E$125</definedName>
    <definedName name="D_UNCOVERED">Model!$B$126:$E$126</definedName>
    <definedName name="EFF_COVERED">Model!$B$123:$E$123</definedName>
    <definedName name="EFF_UNCOVERED">Model!$B$124:$E$124</definedName>
    <definedName name="FLOOR">Model!$B$18:$E$18</definedName>
    <definedName name="INTERCEPTOR_SPEND">Model!$B$55</definedName>
    <definedName name="KRATE">Model!$B$147:$G$150</definedName>
    <definedName name="MIN_REQUIRED">Model!$B$52:$E$52</definedName>
    <definedName name="MK41_CELLS">Model!$B$28</definedName>
    <definedName name="MSE_CAP">Model!$C$13</definedName>
    <definedName name="MSE_FULL_SLACK">Model!$B$167</definedName>
    <definedName name="MSE_PK_ABT">Model!$C$11</definedName>
    <definedName name="MSE_PK_BM">Model!$C$9</definedName>
    <definedName name="MSE_PK_CM">Model!$C$10</definedName>
    <definedName name="MSE_PK_UAS">Model!$C$12</definedName>
    <definedName name="MSE_PRICE">Model!$C$7</definedName>
    <definedName name="MSE_Q">Model!$C$45</definedName>
    <definedName name="MSE_SYSTEM">Model!$C$8</definedName>
    <definedName name="OPTION">Model!$B$154</definedName>
    <definedName name="PAC3_CAP">Model!$B$13</definedName>
    <definedName name="PAC3_PK_ABT">Model!$B$11</definedName>
    <definedName name="PAC3_PK_BM">Model!$B$9</definedName>
    <definedName name="PAC3_PK_CM">Model!$B$10</definedName>
    <definedName name="PAC3_PK_UAS">Model!$B$12</definedName>
    <definedName name="PAC3_PRICE">Model!$B$7</definedName>
    <definedName name="PAC3_Q">Model!$B$45</definedName>
    <definedName name="PAC3_SYSTEM">Model!$B$8</definedName>
    <definedName name="PATRIOT_BATTERIES">Model!$C$41</definedName>
    <definedName name="PATRIOT_LAUNCHERS">Model!$B$29</definedName>
    <definedName name="PATRIOT_LAUNCHERS_USED">Model!$B$62</definedName>
    <definedName name="PATRIOT_MAX">Model!$B$102</definedName>
    <definedName name="PATRIOT_MAX_NOW">Model!$B$165</definedName>
    <definedName name="PATRIOT_MIN">Model!$B$164</definedName>
    <definedName name="PATRIOT_SITES_COVERED">Model!$B$115</definedName>
    <definedName name="PATRIOT_SLACK">Model!$B$63</definedName>
    <definedName name="PK_ABT">Model!$B$11:$G$11</definedName>
    <definedName name="PK_BM">Model!$B$9:$G$9</definedName>
    <definedName name="PK_CM">Model!$B$10:$G$10</definedName>
    <definedName name="PK_UAS">Model!$B$12:$G$12</definedName>
    <definedName name="PRICE">Model!$B$7:$G$7</definedName>
    <definedName name="PROTECTION">Model!$B$65</definedName>
    <definedName name="Q_TOTAL">Model!$B$45:$G$45</definedName>
    <definedName name="QC">Model!$B$108:$G$111</definedName>
    <definedName name="QC_SLACK">Model!$B$118</definedName>
    <definedName name="QU">Model!$B$35:$G$38</definedName>
    <definedName name="R_ABT">Model!$D$19</definedName>
    <definedName name="R_BM">Model!$B$19</definedName>
    <definedName name="R_CM">Model!$C$19</definedName>
    <definedName name="R_COVERED">Model!$B$121:$E$121</definedName>
    <definedName name="R_UAS">Model!$E$19</definedName>
    <definedName name="R_UNCOVERED">Model!$B$122:$E$122</definedName>
    <definedName name="RAID_SIZE">Model!$B$19:$E$19</definedName>
    <definedName name="SITES">Model!$B$100</definedName>
    <definedName name="SITES_PER_PATRIOT">Model!$B$101</definedName>
    <definedName name="SM2_CAP">Model!$F$13</definedName>
    <definedName name="SM2_PK_ABT">Model!$F$11</definedName>
    <definedName name="SM2_PK_BM">Model!$F$9</definedName>
    <definedName name="SM2_PK_CM">Model!$F$10</definedName>
    <definedName name="SM2_PK_UAS">Model!$F$12</definedName>
    <definedName name="SM2_PRICE">Model!$F$7</definedName>
    <definedName name="SM2_Q">Model!$F$45</definedName>
    <definedName name="SM2_SYSTEM">Model!$F$8</definedName>
    <definedName name="SM3_CAP">Model!$E$13</definedName>
    <definedName name="SM3_PK_ABT">Model!$E$11</definedName>
    <definedName name="SM3_PK_BM">Model!$E$9</definedName>
    <definedName name="SM3_PK_CM">Model!$E$10</definedName>
    <definedName name="SM3_PK_UAS">Model!$E$12</definedName>
    <definedName name="SM3_PRICE">Model!$E$7</definedName>
    <definedName name="SM3_Q">Model!$E$45</definedName>
    <definedName name="SM3_SYSTEM">Model!$E$8</definedName>
    <definedName name="SM6_CAP">Model!$G$13</definedName>
    <definedName name="SM6_PK_ABT">Model!$G$11</definedName>
    <definedName name="SM6_PK_BM">Model!$G$9</definedName>
    <definedName name="SM6_PK_CM">Model!$G$10</definedName>
    <definedName name="SM6_PK_UAS">Model!$G$12</definedName>
    <definedName name="SM6_PRICE">Model!$G$7</definedName>
    <definedName name="SM6_Q">Model!$G$45</definedName>
    <definedName name="SM6_SYSTEM">Model!$G$8</definedName>
    <definedName name="solver_adj" localSheetId="0">Model!$B$35:$G$38,Model!$B$108:$G$111,Model!$B$41:$C$41</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Model!$B$35:$G$38</definedName>
    <definedName name="solver_lhs10" localSheetId="0" hidden="1">Model!$B$50:$E$50</definedName>
    <definedName name="solver_lhs11" localSheetId="0">Model!$B$108:$G$111</definedName>
    <definedName name="solver_lhs12" localSheetId="0">Model!$B$108:$G$111</definedName>
    <definedName name="solver_lhs13" localSheetId="0">Model!$C$41</definedName>
    <definedName name="solver_lhs14" localSheetId="0">Model!$C$41</definedName>
    <definedName name="solver_lhs15" localSheetId="0">Model!$C$41</definedName>
    <definedName name="solver_lhs16" localSheetId="0">Model!$B$35:$C$38</definedName>
    <definedName name="solver_lhs17" localSheetId="0">Model!$B$118</definedName>
    <definedName name="solver_lhs18" localSheetId="0">Model!$C$41</definedName>
    <definedName name="solver_lhs19" localSheetId="0">Model!$B$41</definedName>
    <definedName name="solver_lhs2" localSheetId="0" hidden="1">Model!$B$35:$G$38</definedName>
    <definedName name="solver_lhs20" localSheetId="0">Model!$B$167</definedName>
    <definedName name="solver_lhs3" localSheetId="0">Model!$B$41</definedName>
    <definedName name="solver_lhs4" localSheetId="0" hidden="1">Model!$B$57</definedName>
    <definedName name="solver_lhs5" localSheetId="0" hidden="1">Model!$B$57</definedName>
    <definedName name="solver_lhs6" localSheetId="0" hidden="1">Model!$B$61</definedName>
    <definedName name="solver_lhs7" localSheetId="0" hidden="1">Model!$B$63</definedName>
    <definedName name="solver_lhs8" localSheetId="0" hidden="1">Model!$B$64</definedName>
    <definedName name="solver_lhs9" localSheetId="0" hidden="1">Model!$B$67:$G$67</definedName>
    <definedName name="solver_lin" localSheetId="0" hidden="1">2</definedName>
    <definedName name="solver_mip" localSheetId="0" hidden="1">2147483647</definedName>
    <definedName name="solver_msl" localSheetId="0" hidden="1">1</definedName>
    <definedName name="solver_neg" localSheetId="0" hidden="1">1</definedName>
    <definedName name="solver_nod" localSheetId="0" hidden="1">2147483647</definedName>
    <definedName name="solver_num" localSheetId="0">20</definedName>
    <definedName name="solver_opt" localSheetId="0" hidden="1">Model!$B$65</definedName>
    <definedName name="solver_pre" localSheetId="0" hidden="1">0.000001</definedName>
    <definedName name="solver_rbv" localSheetId="0" hidden="1">1</definedName>
    <definedName name="solver_rel1" localSheetId="0" hidden="1">4</definedName>
    <definedName name="solver_rel10" localSheetId="0" hidden="1">3</definedName>
    <definedName name="solver_rel11" localSheetId="0">4</definedName>
    <definedName name="solver_rel12" localSheetId="0">3</definedName>
    <definedName name="solver_rel13" localSheetId="0">4</definedName>
    <definedName name="solver_rel14" localSheetId="0">3</definedName>
    <definedName name="solver_rel15" localSheetId="0">1</definedName>
    <definedName name="solver_rel16" localSheetId="0">2</definedName>
    <definedName name="solver_rel17" localSheetId="0">3</definedName>
    <definedName name="solver_rel18" localSheetId="0">3</definedName>
    <definedName name="solver_rel19" localSheetId="0">1</definedName>
    <definedName name="solver_rel2" localSheetId="0" hidden="1">3</definedName>
    <definedName name="solver_rel20" localSheetId="0">2</definedName>
    <definedName name="solver_rel3" localSheetId="0" hidden="1">5</definedName>
    <definedName name="solver_rel4" localSheetId="0" hidden="1">1</definedName>
    <definedName name="solver_rel5" localSheetId="0" hidden="1">3</definedName>
    <definedName name="solver_rel6" localSheetId="0" hidden="1">3</definedName>
    <definedName name="solver_rel7" localSheetId="0" hidden="1">3</definedName>
    <definedName name="solver_rel8" localSheetId="0" hidden="1">3</definedName>
    <definedName name="solver_rel9" localSheetId="0" hidden="1">3</definedName>
    <definedName name="solver_rhs1" localSheetId="0" hidden="1">"integer"</definedName>
    <definedName name="solver_rhs10" localSheetId="0" hidden="1">Model!$B$52:$E$52</definedName>
    <definedName name="solver_rhs11" localSheetId="0">"integer"</definedName>
    <definedName name="solver_rhs12" localSheetId="0">0</definedName>
    <definedName name="solver_rhs13" localSheetId="0">"integer"</definedName>
    <definedName name="solver_rhs14" localSheetId="0">0</definedName>
    <definedName name="solver_rhs15" localSheetId="0">Model!$B$165</definedName>
    <definedName name="solver_rhs16" localSheetId="0">0</definedName>
    <definedName name="solver_rhs17" localSheetId="0">0</definedName>
    <definedName name="solver_rhs18" localSheetId="0">Model!$B$164</definedName>
    <definedName name="solver_rhs19" localSheetId="0">Model!$B$166</definedName>
    <definedName name="solver_rhs2" localSheetId="0" hidden="1">0</definedName>
    <definedName name="solver_rhs20" localSheetId="0">0</definedName>
    <definedName name="solver_rhs3" localSheetId="0" hidden="1">"binary"</definedName>
    <definedName name="solver_rhs4" localSheetId="0" hidden="1">Model!$B$23</definedName>
    <definedName name="solver_rhs5" localSheetId="0" hidden="1">Model!$B$58</definedName>
    <definedName name="solver_rhs6" localSheetId="0" hidden="1">0</definedName>
    <definedName name="solver_rhs7" localSheetId="0" hidden="1">0</definedName>
    <definedName name="solver_rhs8" localSheetId="0" hidden="1">0</definedName>
    <definedName name="solver_rhs9"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definedName>
    <definedName name="solver_typ" localSheetId="0" hidden="1">1</definedName>
    <definedName name="solver_val" localSheetId="0" hidden="1">0</definedName>
    <definedName name="solver_ver" localSheetId="0" hidden="1">3</definedName>
    <definedName name="SPEND_FLOOR">Model!$B$58</definedName>
    <definedName name="SYS_COST_AEGIS">Model!$B$25</definedName>
    <definedName name="SYS_COST_PATRIOT">Model!$B$26</definedName>
    <definedName name="SYS_COST_THAAD">Model!$B$27</definedName>
    <definedName name="SYSTEM">Model!$B$8:$G$8</definedName>
    <definedName name="SYSTEM_SPEND">Model!$B$56</definedName>
    <definedName name="THAAD_CAP">Model!$B$30</definedName>
    <definedName name="THAAD_PK_ABT">Model!$D$11</definedName>
    <definedName name="THAAD_PK_BM">Model!$D$9</definedName>
    <definedName name="THAAD_PK_CM">Model!$D$10</definedName>
    <definedName name="THAAD_PK_UAS">Model!$D$12</definedName>
    <definedName name="THAAD_PRICE">Model!$D$7</definedName>
    <definedName name="THAAD_Q">Model!$D$45</definedName>
    <definedName name="THAAD_SITES">Model!$B$104</definedName>
    <definedName name="THAAD_SLACK">Model!$B$64</definedName>
    <definedName name="THAAD_SYSTEM">Model!$D$8</definedName>
    <definedName name="TOTAL_SPEND">Model!$B$57</definedName>
    <definedName name="UNCOVERED_SITES">Model!$B$117</definedName>
    <definedName name="UNSPENT">Model!$B$59</definedName>
    <definedName name="USE_MIN">Model!$B$24</definedName>
    <definedName name="W">Model!$B$17:$E$17</definedName>
    <definedName name="W_ABT">Model!$D$17</definedName>
    <definedName name="W_BM">Model!$B$17</definedName>
    <definedName name="W_CM">Model!$C$17</definedName>
    <definedName name="W_UAS">Model!$E$17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2" l="1"/>
  <c r="E51" i="2"/>
  <c r="F50" i="2"/>
  <c r="E50" i="2"/>
  <c r="F49" i="2"/>
  <c r="E49" i="2"/>
  <c r="F48" i="2"/>
  <c r="E48" i="2"/>
  <c r="F47" i="2"/>
  <c r="E47" i="2"/>
  <c r="F46" i="2"/>
  <c r="E46" i="2"/>
  <c r="F45" i="2"/>
  <c r="E45" i="2"/>
  <c r="F44" i="2"/>
  <c r="E44" i="2"/>
  <c r="F43" i="2"/>
  <c r="E43" i="2"/>
  <c r="F42" i="2"/>
  <c r="E42" i="2"/>
  <c r="F41" i="2"/>
  <c r="E41" i="2"/>
  <c r="F40" i="2"/>
  <c r="E40" i="2"/>
  <c r="F39" i="2"/>
  <c r="E39" i="2"/>
  <c r="F38" i="2"/>
  <c r="E38" i="2"/>
  <c r="F37" i="2"/>
  <c r="E37" i="2"/>
  <c r="F36" i="2"/>
  <c r="E36" i="2"/>
  <c r="F35" i="2"/>
  <c r="E35" i="2"/>
  <c r="F34" i="2"/>
  <c r="E34" i="2"/>
  <c r="F33" i="2"/>
  <c r="E33" i="2"/>
  <c r="F32" i="2"/>
  <c r="E32" i="2"/>
  <c r="F31" i="2"/>
  <c r="E31" i="2"/>
  <c r="E30" i="2"/>
  <c r="E29" i="2"/>
  <c r="E28" i="2"/>
  <c r="F14" i="2"/>
  <c r="D14" i="2"/>
  <c r="B14" i="2"/>
  <c r="A14" i="2"/>
  <c r="F13" i="2"/>
  <c r="D13" i="2"/>
  <c r="B13" i="2"/>
  <c r="A13" i="2"/>
  <c r="F12" i="2"/>
  <c r="D12" i="2"/>
  <c r="E12" i="2" s="1"/>
  <c r="B12" i="2"/>
  <c r="A12" i="2"/>
  <c r="A22" i="2" s="1"/>
  <c r="F11" i="2"/>
  <c r="D11" i="2"/>
  <c r="E11" i="2" s="1"/>
  <c r="B11" i="2"/>
  <c r="A11" i="2"/>
  <c r="F10" i="2"/>
  <c r="D10" i="2"/>
  <c r="B10" i="2"/>
  <c r="A10" i="2"/>
  <c r="F9" i="2"/>
  <c r="D9" i="2"/>
  <c r="E9" i="2" s="1"/>
  <c r="B9" i="2"/>
  <c r="A9" i="2"/>
  <c r="A21" i="2" s="1"/>
  <c r="F8" i="2"/>
  <c r="D8" i="2"/>
  <c r="E8" i="2" s="1"/>
  <c r="B8" i="2"/>
  <c r="A8" i="2"/>
  <c r="F7" i="2"/>
  <c r="D7" i="2"/>
  <c r="E7" i="2" s="1"/>
  <c r="B7" i="2"/>
  <c r="A7" i="2"/>
  <c r="F6" i="2"/>
  <c r="D6" i="2"/>
  <c r="B6" i="2"/>
  <c r="A6" i="2"/>
  <c r="A20" i="2" s="1"/>
  <c r="B166" i="1"/>
  <c r="B173" i="1" s="1"/>
  <c r="B165" i="1"/>
  <c r="B164" i="1"/>
  <c r="G160" i="1"/>
  <c r="F160" i="1"/>
  <c r="E160" i="1"/>
  <c r="D160" i="1"/>
  <c r="C160" i="1"/>
  <c r="B160" i="1"/>
  <c r="G150" i="1"/>
  <c r="F150" i="1"/>
  <c r="E150" i="1"/>
  <c r="D150" i="1"/>
  <c r="C150" i="1"/>
  <c r="B150" i="1"/>
  <c r="G149" i="1"/>
  <c r="F149" i="1"/>
  <c r="E149" i="1"/>
  <c r="D149" i="1"/>
  <c r="C149" i="1"/>
  <c r="B149" i="1"/>
  <c r="G148" i="1"/>
  <c r="F148" i="1"/>
  <c r="E148" i="1"/>
  <c r="D148" i="1"/>
  <c r="C148" i="1"/>
  <c r="B148" i="1"/>
  <c r="G147" i="1"/>
  <c r="F147" i="1"/>
  <c r="E147" i="1"/>
  <c r="D147" i="1"/>
  <c r="C147" i="1"/>
  <c r="B147" i="1"/>
  <c r="B143" i="1"/>
  <c r="D143" i="1" s="1"/>
  <c r="B142" i="1"/>
  <c r="D142" i="1" s="1"/>
  <c r="B141" i="1"/>
  <c r="D141" i="1" s="1"/>
  <c r="B140" i="1"/>
  <c r="D140" i="1" s="1"/>
  <c r="B139" i="1"/>
  <c r="D139" i="1" s="1"/>
  <c r="B138" i="1"/>
  <c r="D138" i="1" s="1"/>
  <c r="B134" i="1"/>
  <c r="B132" i="1"/>
  <c r="B131" i="1"/>
  <c r="B130" i="1"/>
  <c r="B115" i="1"/>
  <c r="B133" i="1" s="1"/>
  <c r="B96" i="1"/>
  <c r="D96" i="1" s="1"/>
  <c r="B95" i="1"/>
  <c r="D95" i="1" s="1"/>
  <c r="B94" i="1"/>
  <c r="D94" i="1" s="1"/>
  <c r="B93" i="1"/>
  <c r="D93" i="1" s="1"/>
  <c r="B88" i="1"/>
  <c r="B87" i="1"/>
  <c r="F74" i="1"/>
  <c r="E74" i="1"/>
  <c r="D74" i="1"/>
  <c r="C74" i="1"/>
  <c r="B74" i="1"/>
  <c r="E73" i="1"/>
  <c r="D73" i="1"/>
  <c r="E72" i="1"/>
  <c r="D72" i="1"/>
  <c r="F71" i="1"/>
  <c r="B58" i="1"/>
  <c r="B56" i="1"/>
  <c r="G45" i="1"/>
  <c r="G46" i="1" s="1"/>
  <c r="F45" i="1"/>
  <c r="E45" i="1"/>
  <c r="E46" i="1" s="1"/>
  <c r="D45" i="1"/>
  <c r="D46" i="1" s="1"/>
  <c r="C45" i="1"/>
  <c r="B45" i="1"/>
  <c r="B46" i="1" s="1"/>
  <c r="E19" i="1"/>
  <c r="D19" i="1"/>
  <c r="C19" i="1"/>
  <c r="C52" i="1" s="1"/>
  <c r="B19" i="1"/>
  <c r="E22" i="2" l="1"/>
  <c r="G10" i="2"/>
  <c r="G14" i="2"/>
  <c r="G13" i="2"/>
  <c r="B124" i="1"/>
  <c r="D123" i="1"/>
  <c r="E123" i="1"/>
  <c r="G8" i="2"/>
  <c r="C67" i="1"/>
  <c r="C123" i="1"/>
  <c r="E124" i="1"/>
  <c r="G9" i="2"/>
  <c r="B123" i="1"/>
  <c r="F67" i="1"/>
  <c r="D21" i="2"/>
  <c r="E21" i="2"/>
  <c r="E13" i="2"/>
  <c r="G6" i="2"/>
  <c r="B116" i="1"/>
  <c r="D121" i="1" s="1"/>
  <c r="B117" i="1"/>
  <c r="B118" i="1"/>
  <c r="F46" i="1"/>
  <c r="B60" i="1"/>
  <c r="B61" i="1" s="1"/>
  <c r="B82" i="1" s="1"/>
  <c r="B167" i="1"/>
  <c r="B174" i="1" s="1"/>
  <c r="B67" i="1"/>
  <c r="D52" i="1"/>
  <c r="B52" i="1"/>
  <c r="B171" i="1"/>
  <c r="B172" i="1"/>
  <c r="E67" i="1"/>
  <c r="G67" i="1"/>
  <c r="G12" i="2"/>
  <c r="E52" i="1"/>
  <c r="B62" i="1"/>
  <c r="B63" i="1" s="1"/>
  <c r="B83" i="1" s="1"/>
  <c r="C124" i="1"/>
  <c r="E6" i="2"/>
  <c r="G7" i="2"/>
  <c r="E10" i="2"/>
  <c r="G11" i="2"/>
  <c r="E14" i="2"/>
  <c r="D124" i="1"/>
  <c r="E20" i="2"/>
  <c r="B64" i="1"/>
  <c r="B84" i="1" s="1"/>
  <c r="D22" i="2"/>
  <c r="D67" i="1"/>
  <c r="B55" i="1"/>
  <c r="B57" i="1" s="1"/>
  <c r="C46" i="1"/>
  <c r="D20" i="2"/>
  <c r="F22" i="2" l="1"/>
  <c r="D125" i="1"/>
  <c r="B73" i="1" s="1"/>
  <c r="B49" i="1"/>
  <c r="D49" i="1"/>
  <c r="E49" i="1"/>
  <c r="C122" i="1"/>
  <c r="C126" i="1" s="1"/>
  <c r="C121" i="1"/>
  <c r="C125" i="1" s="1"/>
  <c r="D122" i="1"/>
  <c r="D126" i="1" s="1"/>
  <c r="F123" i="1"/>
  <c r="C49" i="1"/>
  <c r="F21" i="2"/>
  <c r="F20" i="2"/>
  <c r="B122" i="1"/>
  <c r="B126" i="1" s="1"/>
  <c r="B121" i="1"/>
  <c r="B125" i="1" s="1"/>
  <c r="B71" i="1" s="1"/>
  <c r="E121" i="1"/>
  <c r="E125" i="1" s="1"/>
  <c r="E122" i="1"/>
  <c r="E126" i="1" s="1"/>
  <c r="B85" i="1"/>
  <c r="F124" i="1"/>
  <c r="B81" i="1"/>
  <c r="B80" i="1"/>
  <c r="B59" i="1"/>
  <c r="E16" i="2"/>
  <c r="D50" i="1" l="1"/>
  <c r="D51" i="1" s="1"/>
  <c r="C73" i="1"/>
  <c r="F73" i="1"/>
  <c r="C50" i="1"/>
  <c r="C51" i="1" s="1"/>
  <c r="G73" i="1"/>
  <c r="F122" i="1"/>
  <c r="F126" i="1"/>
  <c r="E50" i="1"/>
  <c r="E51" i="1" s="1"/>
  <c r="G71" i="1"/>
  <c r="B50" i="1"/>
  <c r="B51" i="1" s="1"/>
  <c r="F121" i="1"/>
  <c r="D71" i="1"/>
  <c r="E71" i="1"/>
  <c r="C71" i="1"/>
  <c r="F125" i="1"/>
  <c r="B72" i="1"/>
  <c r="C72" i="1"/>
  <c r="G72" i="1"/>
  <c r="G74" i="1"/>
  <c r="F72" i="1"/>
  <c r="B65" i="1" l="1"/>
  <c r="B86" i="1"/>
  <c r="B89" i="1" s="1"/>
  <c r="F5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 Code</author>
    <author>Unknown Author</author>
  </authors>
  <commentList>
    <comment ref="B7" authorId="0" shapeId="0" xr:uid="{00000000-0006-0000-0000-000001000000}">
      <text>
        <r>
          <rPr>
            <sz val="11"/>
            <color theme="1"/>
            <rFont val="Calibri"/>
            <family val="2"/>
            <charset val="1"/>
          </rPr>
          <t>Table 1: $3.7M (CRI is not confirmed for Guam). Not confirmed against a primary source.</t>
        </r>
      </text>
    </comment>
    <comment ref="E7" authorId="0" shapeId="0" xr:uid="{00000000-0006-0000-0000-000002000000}">
      <text>
        <r>
          <rPr>
            <sz val="11"/>
            <color theme="1"/>
            <rFont val="Calibri"/>
            <family val="2"/>
            <charset val="1"/>
          </rPr>
          <t>Table 1: $27.9M for SM-3 IIA. Reported estimates range from about $28M to $31M; not confirmed to a budget book.</t>
        </r>
      </text>
    </comment>
    <comment ref="D41" authorId="1" shapeId="0" xr:uid="{00000000-0006-0000-0000-000003000000}">
      <text>
        <r>
          <rPr>
            <sz val="11"/>
            <color theme="1"/>
            <rFont val="Calibri"/>
            <family val="2"/>
            <charset val="1"/>
          </rPr>
          <t>Existing battery on Guam: fixed at 1 (not a decision).</t>
        </r>
      </text>
    </comment>
  </commentList>
</comments>
</file>

<file path=xl/sharedStrings.xml><?xml version="1.0" encoding="utf-8"?>
<sst xmlns="http://schemas.openxmlformats.org/spreadsheetml/2006/main" count="608" uniqueCount="375">
  <si>
    <t>Guam interceptor loadout - economic research model (inputs from Table 1 of the paper, 2026-10-10; site constraints, kill rate and options added)</t>
  </si>
  <si>
    <t>Built from capabilities/economic-research/spec.md. Blue = input (all DRAFT placeholders until sourced). Yellow = decision cell (Solver changes these). Black = formula. Money in USD millions ($M).</t>
  </si>
  <si>
    <t>HOW TO USE: set OPTION, ACTIVE_RAID and BUDGET, then Data &gt; Solver &gt; Solve (the Solver setup is saved in this sheet). Inputs are from Table 1 of the paper; kill probabilities, raid sizes, weights and the even spread over 16 sites are placeholders. Site constraints are in rows 98-143; options in rows 152-175.</t>
  </si>
  <si>
    <t>INPUTS - per interceptor (DRAFT: secondary-source ranges and placeholder assumptions)</t>
  </si>
  <si>
    <t>Name</t>
  </si>
  <si>
    <t>PAC-3 CRI</t>
  </si>
  <si>
    <t>PAC-3 MSE</t>
  </si>
  <si>
    <t>THAAD</t>
  </si>
  <si>
    <t>SM-3 IIA</t>
  </si>
  <si>
    <t>SM-2</t>
  </si>
  <si>
    <t>SM-6</t>
  </si>
  <si>
    <t>Unit</t>
  </si>
  <si>
    <t>Source / status</t>
  </si>
  <si>
    <t>PRICE</t>
  </si>
  <si>
    <t>$M per interceptor</t>
  </si>
  <si>
    <t>Table 1 (paper, 2026-10-09): CRI $3.7M, MSE $4.2M, THAAD $12.7M, SM-3 IIA $27.9M, SM-2 $2.0-2.1M and SM-6 $3.5-9.6M (midpoints used for the two ranges). NOT yet confirmed against budget books or contract awards; see the paper's price notes.</t>
  </si>
  <si>
    <t>SYSTEM</t>
  </si>
  <si>
    <t>PATRIOT</t>
  </si>
  <si>
    <t>AEGIS</t>
  </si>
  <si>
    <t>text</t>
  </si>
  <si>
    <t>Which launcher system each interceptor needs</t>
  </si>
  <si>
    <t>PK_BM</t>
  </si>
  <si>
    <t>single-shot kill prob.</t>
  </si>
  <si>
    <t>Single-shot kill probability: 50% baseline (PLACEHOLDER) wherever Table 1 lists the threat for that interceptor; 0 = cannot engage. n shots at one threat kill it with probability 1 - (1 - PK)^n (see KRATE). Row BM.</t>
  </si>
  <si>
    <t>PK_CM</t>
  </si>
  <si>
    <t>Single-shot kill probability: 50% baseline (PLACEHOLDER) wherever Table 1 lists the threat for that interceptor; 0 = cannot engage. n shots at one threat kill it with probability 1 - (1 - PK)^n (see KRATE).</t>
  </si>
  <si>
    <t>PK_ABT</t>
  </si>
  <si>
    <t>PK_UAS</t>
  </si>
  <si>
    <t>CAP</t>
  </si>
  <si>
    <t>interceptors through FY2032</t>
  </si>
  <si>
    <t>PLACEHOLDER (non-binding): no Table 2 result buys more than 615 of one type. Replace with production rate x years.</t>
  </si>
  <si>
    <t>INPUTS - per threat class</t>
  </si>
  <si>
    <t>BM</t>
  </si>
  <si>
    <t>CM</t>
  </si>
  <si>
    <t>ABT</t>
  </si>
  <si>
    <t>UAS</t>
  </si>
  <si>
    <t>W</t>
  </si>
  <si>
    <t>damage weight (index)</t>
  </si>
  <si>
    <t>PLACEHOLDER judgment: relative damage of one leaked threat. Vary in sensitivity runs.</t>
  </si>
  <si>
    <t>FLOOR</t>
  </si>
  <si>
    <t>share of class defeated</t>
  </si>
  <si>
    <t>Policy choice: minimum share of each class that must be defeated (0 = no floor).</t>
  </si>
  <si>
    <t>R (active raid)</t>
  </si>
  <si>
    <t>threats in raid</t>
  </si>
  <si>
    <t>Pulled from the Scenarios sheet for ACTIVE_RAID.</t>
  </si>
  <si>
    <t>INPUTS - the named contract (scalars)</t>
  </si>
  <si>
    <t>Value</t>
  </si>
  <si>
    <t>BUDGET</t>
  </si>
  <si>
    <t>$M</t>
  </si>
  <si>
    <t>The roughly $8B Guam Defense System cap (Arms Control Association, 2025), used as the interceptor and system budget. PLACEHOLDER: the interceptor share is not sourced.</t>
  </si>
  <si>
    <t>USE_MIN</t>
  </si>
  <si>
    <t>fraction of BUDGET</t>
  </si>
  <si>
    <t>0 = spend only what buys protection; 0.98 = "use the whole budget" run (spec: two runs).</t>
  </si>
  <si>
    <t>SYS_COST_AEGIS</t>
  </si>
  <si>
    <t>$M, one system</t>
  </si>
  <si>
    <t>Table 1: Aegis Guam $1.9B (Brahy, 2026). Note: one report describes $1.9B as the cumulative value of a broader Aegis contract, not a Guam-only cost.</t>
  </si>
  <si>
    <t>SYS_COST_PATRIOT</t>
  </si>
  <si>
    <t>$M, one battery</t>
  </si>
  <si>
    <t>Table 1: Patriot battery about $0.4B without missiles. Supported by a secondary source citing CRS; not confirmed to a budget book. Counted once per battery.</t>
  </si>
  <si>
    <t>SYS_COST_THAAD</t>
  </si>
  <si>
    <t>THAAD battery already deployed on Guam since 2013: a sunk cost, so 0 here. Only new interceptors cost money.</t>
  </si>
  <si>
    <t>MK41_CELLS</t>
  </si>
  <si>
    <t>launcher cells</t>
  </si>
  <si>
    <t>PLACEHOLDER (Table 1 dagger). Aegis Guam Mk 41 cell count not yet sourced. Shared by SM-2, SM-3, SM-6.</t>
  </si>
  <si>
    <t>PATRIOT_LAUNCHERS</t>
  </si>
  <si>
    <t>M903 launchers</t>
  </si>
  <si>
    <t>Nominal battery of 6 launchers; each holds 16 PAC-3 CRI or 12 PAC-3 MSE (Wikipedia, MIM-104 Patriot).</t>
  </si>
  <si>
    <t>THAAD_CAP</t>
  </si>
  <si>
    <t>interceptors</t>
  </si>
  <si>
    <t>Battery of 6 launchers x 8 (user input). Assumes one load for the existing battery.</t>
  </si>
  <si>
    <t>ACTIVE_RAID</t>
  </si>
  <si>
    <t>A ballistic-heavy</t>
  </si>
  <si>
    <t>scenario name</t>
  </si>
  <si>
    <t>Pick a row name from the Scenarios sheet.</t>
  </si>
  <si>
    <t>DECISION VARIABLES - integers; Solver 'By Changing Variable Cells'</t>
  </si>
  <si>
    <t>QU (interceptors at sites WITHOUT Patriot cover)</t>
  </si>
  <si>
    <t>Constraint</t>
  </si>
  <si>
    <t>QU_BM</t>
  </si>
  <si>
    <t>integer &gt;= 0; assigning a type to a class where its PK = 0 buys nothing. Patriot columns (B:C) must be 0 here: Patriot only defends the sites its batteries cover (use the QC grid, row 108 onward)</t>
  </si>
  <si>
    <t>QU_CM</t>
  </si>
  <si>
    <t>QU_ABT</t>
  </si>
  <si>
    <t>QU_UAS</t>
  </si>
  <si>
    <t>BUILD (Aegis, THAAD: 1 = buy; Patriot: number of batteries)</t>
  </si>
  <si>
    <t>PATRIOT (batteries)</t>
  </si>
  <si>
    <t>BUILD</t>
  </si>
  <si>
    <t>0/1; Patriot 0 to PATRIOT_MAX</t>
  </si>
  <si>
    <t>Aegis and THAAD: binary, a system cost is paid once (fixed vs. marginal cost). Patriot (PATRIOT_BATTERIES): whole number 0 to PATRIOT_MAX; each battery costs SYS_COST_PATRIOT, has PATRIOT_LAUNCHERS launchers, and defends SITES_PER_PATRIOT sites</t>
  </si>
  <si>
    <t>CALCULATIONS - totals, protection, spending</t>
  </si>
  <si>
    <t>Formula (named-range form)</t>
  </si>
  <si>
    <t>Q_TOTAL</t>
  </si>
  <si>
    <t>Q_i = SUM over classes of QU_ij + QC_ij</t>
  </si>
  <si>
    <t>SPEND_BY_TYPE</t>
  </si>
  <si>
    <t>PRICE_i x Q_i</t>
  </si>
  <si>
    <t>Total</t>
  </si>
  <si>
    <t>EFF_SHOTS</t>
  </si>
  <si>
    <t>expected kills if unsaturated</t>
  </si>
  <si>
    <t>EFF_j = EFF_COVERED_j + EFF_UNCOVERED_j; each is SUM of KRATE x Q</t>
  </si>
  <si>
    <t>D (defeated)</t>
  </si>
  <si>
    <t>threats</t>
  </si>
  <si>
    <t>D_j = D_COVERED_j + D_UNCOVERED_j; each is R x (1 - EXP(-EFF / R)) for its own sites  [diminishing returns as defense saturates]</t>
  </si>
  <si>
    <t>SHARE_DEFEATED</t>
  </si>
  <si>
    <t>%</t>
  </si>
  <si>
    <t>D_j / R_j</t>
  </si>
  <si>
    <t>MIN_REQUIRED</t>
  </si>
  <si>
    <t>FLOOR_j x R_j  (Solver: D &gt;= MIN_REQUIRED)</t>
  </si>
  <si>
    <t>INTERCEPTOR_SPEND</t>
  </si>
  <si>
    <t>SUM of PRICE_i x Q_i</t>
  </si>
  <si>
    <t>SYSTEM_SPEND</t>
  </si>
  <si>
    <t>one-time system costs: Aegis and THAAD once; Patriot once per battery</t>
  </si>
  <si>
    <t>TOTAL_SPEND</t>
  </si>
  <si>
    <t>Solver: TOTAL_SPEND &lt;= BUDGET and &gt;= SPEND_FLOOR</t>
  </si>
  <si>
    <t>SPEND_FLOOR</t>
  </si>
  <si>
    <t>USE_MIN x BUDGET</t>
  </si>
  <si>
    <t>UNSPENT</t>
  </si>
  <si>
    <t>money left on the table</t>
  </si>
  <si>
    <t>AEGIS_CELLS_USED</t>
  </si>
  <si>
    <t>cells</t>
  </si>
  <si>
    <t>SM-2 + SM-3 + SM-6 share Mk 41 cells</t>
  </si>
  <si>
    <t>AEGIS_CELL_SLACK</t>
  </si>
  <si>
    <t>Solver: &gt;= 0</t>
  </si>
  <si>
    <t>PATRIOT_LAUNCHERS_USED</t>
  </si>
  <si>
    <t>launchers</t>
  </si>
  <si>
    <t>16 CRI or 12 MSE per launcher</t>
  </si>
  <si>
    <t>PATRIOT_SLACK</t>
  </si>
  <si>
    <t>Solver: &gt;= 0 (launcher space across all batteries, and no PAC-3 without a battery)</t>
  </si>
  <si>
    <t>THAAD_SLACK</t>
  </si>
  <si>
    <t>PROTECTION</t>
  </si>
  <si>
    <t>% of weighted threat defeated</t>
  </si>
  <si>
    <t>OBJECTIVE (Solver maximizes): SUM W_j D_j / SUM W_j R_j</t>
  </si>
  <si>
    <t>CAP_SLACK</t>
  </si>
  <si>
    <t>CAP_i x ALLOWED_NOW_i - Q_i  (Solver: &gt;= 0; a type the option does not allow gets a cap of 0)</t>
  </si>
  <si>
    <t>EQUIMARGINAL CHECK - extra weighted protection from ONE more interceptor, per $M (build audit)</t>
  </si>
  <si>
    <t>MPD (per $M)</t>
  </si>
  <si>
    <t>Formula</t>
  </si>
  <si>
    <t>MPD_BM</t>
  </si>
  <si>
    <t>weighted threats per $M</t>
  </si>
  <si>
    <t>W_j x [extra threats defeated at the best site type by one more interceptor] / PRICE_i  (Patriot: covered sites only)</t>
  </si>
  <si>
    <t>MPD_CM</t>
  </si>
  <si>
    <t>MPD_ABT</t>
  </si>
  <si>
    <t>MPD_UAS</t>
  </si>
  <si>
    <t>Read: at the optimum, the interceptors in use show similar MPD values (the equimarginal principle), unless a launcher, cell or site limit binds - then compare protection per CELL (or per covered site) instead, as with the 64-bed cap in the marginal-analysis model.</t>
  </si>
  <si>
    <t>VALIDATION RULES - each TRUE/FALSE; rolled up into ALL_VALID</t>
  </si>
  <si>
    <t>Rule</t>
  </si>
  <si>
    <t>Result</t>
  </si>
  <si>
    <t>Catches</t>
  </si>
  <si>
    <t>TOTAL_SPEND &lt;= BUDGET</t>
  </si>
  <si>
    <t>overspending the budget</t>
  </si>
  <si>
    <t>TOTAL_SPEND &gt;= SPEND_FLOOR</t>
  </si>
  <si>
    <t>under-using the budget in the "use the whole budget" run</t>
  </si>
  <si>
    <t>Aegis cells not exceeded</t>
  </si>
  <si>
    <t>more SM-2/3/6 than Mk 41 cells (or SMs with no Aegis system)</t>
  </si>
  <si>
    <t>Patriot launchers not exceeded</t>
  </si>
  <si>
    <t>more PAC-3 than launchers hold (or PAC-3 with no Patriot battery)</t>
  </si>
  <si>
    <t>THAAD load not exceeded</t>
  </si>
  <si>
    <t>more THAAD than the battery holds</t>
  </si>
  <si>
    <t>Production caps respected</t>
  </si>
  <si>
    <t>buying more than factories can make by FY2032</t>
  </si>
  <si>
    <t>Coverage floors met</t>
  </si>
  <si>
    <t>abandoning a threat class below its floor</t>
  </si>
  <si>
    <t>No wasted assignments (PK = 0)</t>
  </si>
  <si>
    <t>interceptors assigned to a class they cannot engage</t>
  </si>
  <si>
    <t>Decision cells are whole numbers</t>
  </si>
  <si>
    <t>fractional interceptors left by Solver tolerance</t>
  </si>
  <si>
    <t>ALL_VALID</t>
  </si>
  <si>
    <t>HAND CHECK (build audit) - formula vs. hand math, independent of the decision cells</t>
  </si>
  <si>
    <t>Claim</t>
  </si>
  <si>
    <t>Formula result</t>
  </si>
  <si>
    <t>Hand math</t>
  </si>
  <si>
    <t>Match?</t>
  </si>
  <si>
    <t>20 threats, effective shots EFF = 7: D = 20 x (1 - e^-0.35) = 5.906</t>
  </si>
  <si>
    <t>Adding 0.7 effective shots (EFF 7.7) raises D to 6.391</t>
  </si>
  <si>
    <t>Patriot: 96 CRI fill exactly 6 launchers (96/16)</t>
  </si>
  <si>
    <t>Patriot: 72 MSE fill exactly 6 launchers (72/12)</t>
  </si>
  <si>
    <t>INPUTS - site constraints (user-specified 2026-10-08; sites and the Patriot limits are not from Table 1)</t>
  </si>
  <si>
    <t>SITES</t>
  </si>
  <si>
    <t>sites</t>
  </si>
  <si>
    <t>User-specified: 16 sites on Guam to defend. Raid threats are assumed spread evenly across sites (PLACEHOLDER).</t>
  </si>
  <si>
    <t>SITES_PER_PATRIOT</t>
  </si>
  <si>
    <t>sites per battery</t>
  </si>
  <si>
    <t>User-specified: one Patriot battery can protect at most 2 sites.</t>
  </si>
  <si>
    <t>PATRIOT_MAX</t>
  </si>
  <si>
    <t>batteries</t>
  </si>
  <si>
    <t>User-specified: 8 Patriot batteries on Guam (the limit; the model may build fewer). At 2 sites each, 8 batteries cover all 16 sites.</t>
  </si>
  <si>
    <t>AEGIS_SITES</t>
  </si>
  <si>
    <t>User-specified: Aegis can provide coverage on all sites, but only for the threat classes its PK row allows.</t>
  </si>
  <si>
    <t>THAAD_SITES</t>
  </si>
  <si>
    <t>User-specified: THAAD can provide coverage on all sites, but only for the threat classes its PK row allows.</t>
  </si>
  <si>
    <t>DECISION VARIABLES - interceptors at sites WITH Patriot cover; integers; Solver 'By Changing Variable Cells'</t>
  </si>
  <si>
    <t>QC (interceptors at Patriot-covered sites)</t>
  </si>
  <si>
    <t>QC_BM</t>
  </si>
  <si>
    <t>integer &gt;= 0; Patriot columns can only be used here. Shared types (THAAD, SM-x) may be placed at covered or uncovered sites</t>
  </si>
  <si>
    <t>QC_CM</t>
  </si>
  <si>
    <t>QC_ABT</t>
  </si>
  <si>
    <t>QC_UAS</t>
  </si>
  <si>
    <t>CALCULATIONS - site coverage and threats defeated at covered / uncovered sites</t>
  </si>
  <si>
    <t>PATRIOT_SITES_COVERED</t>
  </si>
  <si>
    <t>MIN(SITES, SITES_PER_PATRIOT x PATRIOT_BATTERIES)</t>
  </si>
  <si>
    <t>COVERED_FRACTION</t>
  </si>
  <si>
    <t>share of sites</t>
  </si>
  <si>
    <t>PATRIOT_SITES_COVERED / SITES; share of every threat class arriving at Patriot-covered sites</t>
  </si>
  <si>
    <t>UNCOVERED_SITES</t>
  </si>
  <si>
    <t>SITES - PATRIOT_SITES_COVERED (defended only by Aegis and THAAD)</t>
  </si>
  <si>
    <t>QC_SLACK</t>
  </si>
  <si>
    <t>Solver: &gt;= 0; nothing can be placed at covered sites when no site is covered</t>
  </si>
  <si>
    <t>R_COVERED</t>
  </si>
  <si>
    <t>R_j x COVERED_FRACTION</t>
  </si>
  <si>
    <t>R_UNCOVERED</t>
  </si>
  <si>
    <t>R_j x (1 - COVERED_FRACTION)</t>
  </si>
  <si>
    <t>EFF_COVERED</t>
  </si>
  <si>
    <t>SUMPRODUCT(KRATE_j, QC_j)</t>
  </si>
  <si>
    <t>EFF_UNCOVERED</t>
  </si>
  <si>
    <t>SUMPRODUCT(KRATE_j, QU_j)</t>
  </si>
  <si>
    <t>D_COVERED</t>
  </si>
  <si>
    <t>R_COVERED_j x (1 - EXP(-EFF_COVERED_j / R_COVERED_j))</t>
  </si>
  <si>
    <t>D_UNCOVERED</t>
  </si>
  <si>
    <t>R_UNCOVERED_j x (1 - EXP(-EFF_UNCOVERED_j / R_UNCOVERED_j))</t>
  </si>
  <si>
    <t>VALIDATION RULES - site constraints; each TRUE/FALSE; rolled up into ALL_VALID with the rules above</t>
  </si>
  <si>
    <t>Patriot batteries within the Guam limit</t>
  </si>
  <si>
    <t>more than PATRIOT_MAX batteries, or a fractional battery</t>
  </si>
  <si>
    <t>Patriot sites covered &lt;= SITES</t>
  </si>
  <si>
    <t>claiming more covered sites than exist</t>
  </si>
  <si>
    <t>Patriot interceptors only at covered sites</t>
  </si>
  <si>
    <t>PAC-3 assigned to sites no battery covers</t>
  </si>
  <si>
    <t>Nothing at covered sites when none are covered</t>
  </si>
  <si>
    <t>interceptors placed at covered sites with zero batteries</t>
  </si>
  <si>
    <t>Aegis and THAAD cover every site (model assumption)</t>
  </si>
  <si>
    <t>model assumes both systems defend all sites; partial coverage needs a different build</t>
  </si>
  <si>
    <t>HAND CHECK - site constraints (build audit): formula vs. hand math</t>
  </si>
  <si>
    <t>8 batteries x 2 sites = 16 covered sites = every site (COVERED_FRACTION = 1)</t>
  </si>
  <si>
    <t>40 ballistic threats, all arriving at covered sites: R_COVERED = 40 (R_UNCOVERED = 0)</t>
  </si>
  <si>
    <t>8 Patriot batteries x 6 launchers x 16 CRI = 768 PAC-3 CRI at most</t>
  </si>
  <si>
    <t>With 4 batteries, 8 of 16 sites are uncovered, so (1 - 0.5) x 50 drones = 25 uncovered</t>
  </si>
  <si>
    <t>Two shots at PK 0.5 against one threat kill it with probability 0.75: 1 x (1 - e^(-KRATE x 2))</t>
  </si>
  <si>
    <t>One shot per threat at PK 0.5 defeats half: 20 threats, 20 shots, D = 10</t>
  </si>
  <si>
    <t>CALCULATIONS - kill rate from single-shot kill probability (salvo form)</t>
  </si>
  <si>
    <t>KRATE_BM</t>
  </si>
  <si>
    <t>effective shots per interceptor</t>
  </si>
  <si>
    <t>KRATE = -LN(1 - PK). One interceptor adds KRATE effective shots; D = R x (1 - EXP(-EFF / R)) then gives 1 - (1 - PK)^n for n interceptors per threat</t>
  </si>
  <si>
    <t>KRATE_CM</t>
  </si>
  <si>
    <t>KRATE_ABT</t>
  </si>
  <si>
    <t>KRATE_UAS</t>
  </si>
  <si>
    <t>INPUTS - which Table 2 option to run (OPTION 1, 2 or 3)</t>
  </si>
  <si>
    <t>OPTION</t>
  </si>
  <si>
    <t>1, 2 or 3</t>
  </si>
  <si>
    <t>1 = 8 Patriot batteries with MSE only; 2 = current Guam plan (Aegis + existing THAAD); 3 = optimal mix. Choose, then run Solver (see the Solver Model sheet).</t>
  </si>
  <si>
    <t>ALLOWED (1 = may buy)</t>
  </si>
  <si>
    <t>Meaning</t>
  </si>
  <si>
    <t>ALLOWED_OPTION_1</t>
  </si>
  <si>
    <t>0 or 1</t>
  </si>
  <si>
    <t>Option 1: only PAC-3 MSE, on Patriot batteries (no Aegis, no THAAD interceptors)</t>
  </si>
  <si>
    <t>ALLOWED_OPTION_2</t>
  </si>
  <si>
    <t>Option 2: the current Guam plan: Aegis (SM-3 IIA, SM-6) plus the existing, already-paid THAAD battery; no Patriot, no SM-2</t>
  </si>
  <si>
    <t>ALLOWED_OPTION_3</t>
  </si>
  <si>
    <t>Option 3: every interceptor type may be bought</t>
  </si>
  <si>
    <t>ALLOWED_NOW</t>
  </si>
  <si>
    <t>ALLOWED row for the active OPTION; production cap becomes CAP x ALLOWED_NOW</t>
  </si>
  <si>
    <t>CALCULATIONS - option rules</t>
  </si>
  <si>
    <t>PATRIOT_MIN</t>
  </si>
  <si>
    <t>Option 1 builds all PATRIOT_MAX batteries</t>
  </si>
  <si>
    <t>PATRIOT_MAX_NOW</t>
  </si>
  <si>
    <t>Option 2 has no Patriot batteries</t>
  </si>
  <si>
    <t>AEGIS_ALLOWED</t>
  </si>
  <si>
    <t>Option 1 has no Aegis system</t>
  </si>
  <si>
    <t>MSE_FULL_SLACK</t>
  </si>
  <si>
    <t>Option 1 loads every battery fully with MSE (12 per launcher); Solver: = 0</t>
  </si>
  <si>
    <t>VALIDATION RULES - option; each TRUE/FALSE; rolled up into ALL_VALID</t>
  </si>
  <si>
    <t>Only allowed interceptor types are bought</t>
  </si>
  <si>
    <t>buying a type the active OPTION does not allow</t>
  </si>
  <si>
    <t>Patriot batteries match the option</t>
  </si>
  <si>
    <t>Option 1 below PATRIOT_MAX batteries, or Patriot batteries in Option 2</t>
  </si>
  <si>
    <t>Aegis system only if the option allows it</t>
  </si>
  <si>
    <t>an Aegis system in Option 1</t>
  </si>
  <si>
    <t>Option 1 batteries fully loaded with MSE</t>
  </si>
  <si>
    <t>Option 1 with empty launchers</t>
  </si>
  <si>
    <t>Table 2 of the paper: where each number comes from</t>
  </si>
  <si>
    <t>Each Table 2 cell is the PROTECTION cell (Model!B65) after setting OPTION (Model!B154), ACTIVE_RAID (Model!B31) and BUDGET (Model!B23 = 8,000) and solving. The reference values on the Scenarios sheet (rows 13-21) come from an external integer solver (reference-optimizer.py, in this folder); column E checks each of the paper's rounded values against them (FALSE = the paper's number differs from the workbook).</t>
  </si>
  <si>
    <t>Inputs are Table 1 of the paper; the 50% kill probability, raid sizes, damage weights and the even spread of threats over 16 sites are placeholders. Options 2 and 3 are re-solved for each raid; Option 1 is one fixed purchase.</t>
  </si>
  <si>
    <t>Option</t>
  </si>
  <si>
    <t>Raid</t>
  </si>
  <si>
    <t>Paper Table 2 (%)</t>
  </si>
  <si>
    <t>Workbook reference (%)</t>
  </si>
  <si>
    <t>Matches paper?</t>
  </si>
  <si>
    <t>Spend ($M)</t>
  </si>
  <si>
    <t>Protection points per $B</t>
  </si>
  <si>
    <t>How to reproduce</t>
  </si>
  <si>
    <t>OPTION = 1, ACTIVE_RAID = A ballistic-heavy, BUDGET = 8000, USE_MIN = 0; solve; read Model!B65</t>
  </si>
  <si>
    <t>OPTION = 1, ACTIVE_RAID = B cruise-heavy, BUDGET = 8000, USE_MIN = 0; solve; read Model!B65</t>
  </si>
  <si>
    <t>OPTION = 1, ACTIVE_RAID = C drone saturation, BUDGET = 8000, USE_MIN = 0; solve; read Model!B65</t>
  </si>
  <si>
    <t>OPTION = 2, ACTIVE_RAID = A ballistic-heavy, BUDGET = 8000, USE_MIN = 0; solve; read Model!B65</t>
  </si>
  <si>
    <t>OPTION = 2, ACTIVE_RAID = B cruise-heavy, BUDGET = 8000, USE_MIN = 0; solve; read Model!B65</t>
  </si>
  <si>
    <t>OPTION = 2, ACTIVE_RAID = C drone saturation, BUDGET = 8000, USE_MIN = 0; solve; read Model!B65</t>
  </si>
  <si>
    <t>OPTION = 3, ACTIVE_RAID = A ballistic-heavy, BUDGET = 8000, USE_MIN = 0; solve; read Model!B65</t>
  </si>
  <si>
    <t>OPTION = 3, ACTIVE_RAID = B cruise-heavy, BUDGET = 8000, USE_MIN = 0; solve; read Model!B65</t>
  </si>
  <si>
    <t>OPTION = 3, ACTIVE_RAID = C drone saturation, BUDGET = 8000, USE_MIN = 0; solve; read Model!B65</t>
  </si>
  <si>
    <t>ALL NINE MATCH</t>
  </si>
  <si>
    <t>Table 2 spend column</t>
  </si>
  <si>
    <t>Paper low ($B)</t>
  </si>
  <si>
    <t>Paper high ($B)</t>
  </si>
  <si>
    <t>Workbook low ($B)</t>
  </si>
  <si>
    <t>Workbook high ($B)</t>
  </si>
  <si>
    <t>MOST BANG FOR THE BUCK: best protection (Option 3, unrestricted) at each budget, per raid</t>
  </si>
  <si>
    <t>Hardcoded values from the same external solver (reference-optimizer.py), not Excel Solver. Protection points per $B = protection (%) / spend ($B). Extra points per extra $B = change from the previous budget for the same raid. Compare Options 1 and 2 above (points per $B in column G).</t>
  </si>
  <si>
    <t>Budget ($M)</t>
  </si>
  <si>
    <t>Protection (%)</t>
  </si>
  <si>
    <t>Extra points per extra $B</t>
  </si>
  <si>
    <t>Patriot batteries</t>
  </si>
  <si>
    <t>Aegis built</t>
  </si>
  <si>
    <t>B cruise-heavy</t>
  </si>
  <si>
    <t>C drone saturation</t>
  </si>
  <si>
    <t>Raid scenarios and results log</t>
  </si>
  <si>
    <t>Raid sizes are PLACEHOLDERS. Spec: hold attacker spending constant and change only the split, so cheaper threats appear as larger raids.</t>
  </si>
  <si>
    <t>Scenario</t>
  </si>
  <si>
    <t>Note</t>
  </si>
  <si>
    <t>mostly medium/intermediate-range ballistic missiles</t>
  </si>
  <si>
    <t>mostly cruise missiles and aircraft</t>
  </si>
  <si>
    <t>mostly cheap one-way attack drones</t>
  </si>
  <si>
    <t>REFERENCE RESULTS - the nine Table 2 cells (Python integer optimizer, same inputs, OPTION x raid, BUDGET = 8,000, USE_MIN = 0)</t>
  </si>
  <si>
    <t>Hardcoded values from an external solver, for checking Excel Solver only. Set OPTION and ACTIVE_RAID, then solve. Solver should reach the same PROTECTION within ~0.5 points; different mixes can tie, so compare PROTECTION and spend, not exact quantities.</t>
  </si>
  <si>
    <t>Protection</t>
  </si>
  <si>
    <t>Spent ($M)</t>
  </si>
  <si>
    <t>Patriot sites</t>
  </si>
  <si>
    <t>1 - 8 Patriot batteries, MSE only</t>
  </si>
  <si>
    <t>2 - current Guam plan</t>
  </si>
  <si>
    <t>3 - optimal mix (up to 8 batteries)</t>
  </si>
  <si>
    <t>Source: scipy.optimize.milp run by Claude on 2026-10-10 with the Model sheet inputs as built (Table 1 prices, 50% single-shot kill probability in the salvo form, 16 sites, up to 8 Patriot batteries at 2 sites each); tangent-line approximation of D, protection re-evaluated exactly. These are the nine cells of Table 2 in the paper (92 / 89 / 49, 68 / 53 / 43, 97 / 95 / 59 percent). Illustrative only.</t>
  </si>
  <si>
    <t>MY SOLVER RUNS - record each Excel Solver result here</t>
  </si>
  <si>
    <t>Matches reference?</t>
  </si>
  <si>
    <t>Notes</t>
  </si>
  <si>
    <t>Solver setup (saved in the Model sheet; open Data &gt; Solver to see it)</t>
  </si>
  <si>
    <t>Objective</t>
  </si>
  <si>
    <t>Maximize PROTECTION (Model!B65): weighted share of threats defeated, SUM W_j D_j / SUM W_j R_j</t>
  </si>
  <si>
    <t>By changing</t>
  </si>
  <si>
    <t>QU grid Model!B35:G38 and QC grid Model!B108:G111 (interceptors at uncovered / Patriot-covered sites), BUILD_AEGIS Model!B41 and PATRIOT_BATTERIES Model!C41 (number of Patriot batteries). THAAD build is fixed at 1: the battery is already on Guam. Set OPTION (Model!B154) first.</t>
  </si>
  <si>
    <t>Engine</t>
  </si>
  <si>
    <t>GRG Nonlinear (the objective uses EXP, so Simplex LP cannot be used), with Multistart on. Integer optimality tolerance 0%. Not run in the build (Solver hangs headless).</t>
  </si>
  <si>
    <t>Constraint 1</t>
  </si>
  <si>
    <t>QU and QC grids = integer; PATRIOT_BATTERIES = integer</t>
  </si>
  <si>
    <t>Constraint 2</t>
  </si>
  <si>
    <t>QU and QC grids &gt;= 0; PATRIOT_BATTERIES &gt;= 0</t>
  </si>
  <si>
    <t>Constraint 3</t>
  </si>
  <si>
    <t>BUILD_AEGIS = binary</t>
  </si>
  <si>
    <t>Constraint 4</t>
  </si>
  <si>
    <t>TOTAL_SPEND (B57) &lt;= BUDGET (B23); BUDGET = 8,000 for Table 2</t>
  </si>
  <si>
    <t>Constraint 5</t>
  </si>
  <si>
    <t>TOTAL_SPEND (B57) &gt;= SPEND_FLOOR (B58) = USE_MIN x BUDGET</t>
  </si>
  <si>
    <t>Constraint 6</t>
  </si>
  <si>
    <t>AEGIS_CELL_SLACK (B61) &gt;= 0  - shared Mk 41 cells, and no Standard Missiles without Aegis</t>
  </si>
  <si>
    <t>Constraint 7</t>
  </si>
  <si>
    <t>PATRIOT_SLACK (B63) &gt;= 0  - launcher space, and no PAC-3 without a Patriot battery</t>
  </si>
  <si>
    <t>Constraint 8</t>
  </si>
  <si>
    <t>THAAD_SLACK (B64) &gt;= 0</t>
  </si>
  <si>
    <t>Constraint 9</t>
  </si>
  <si>
    <t>CAP_SLACK (B67:G67) &gt;= 0  - production cap CAP x ALLOWED_NOW, so a type the OPTION does not allow cannot be bought</t>
  </si>
  <si>
    <t>Constraint 10</t>
  </si>
  <si>
    <t>D (B50:E50) &gt;= MIN_REQUIRED (B52:E52)  - coverage floors</t>
  </si>
  <si>
    <t>Build audit</t>
  </si>
  <si>
    <t>1) Hand check rows (Model, rows 93-96, 138-143) all TRUE.  2) ALL_VALID (B89) TRUE after every solve.  3) Solve from two starting points (the seeded solution, and all zeros) and compare.  4) Compare PROTECTION with the reference results on the Scenarios sheet.  5) Equimarginal check: interceptors in use should show similar MPD values (rows 71-74) unless a cell, launcher or site limit binds.</t>
  </si>
  <si>
    <t>Starting point</t>
  </si>
  <si>
    <t>The decision cells are seeded with the reference solution for OPTION 3 (optimal mix), raid A, at $8,000M, so the sheet opens in a solved state.</t>
  </si>
  <si>
    <t>Run plan (spec)</t>
  </si>
  <si>
    <t>For each OPTION 1, 2, 3 and each raid A, B, C: solve at BUDGET = 8,000 with USE_MIN = 0 and compare with the Scenarios sheet (these are the cells of Table 2 in the paper).</t>
  </si>
  <si>
    <t>Known limits</t>
  </si>
  <si>
    <t>Inputs are placeholders. Kill probabilities and raid sizes are assumptions, not data, and so is the even spread of threats over the 16 sites. GRG on an integer problem can stop at a local optimum - that is why the external reference results exist.</t>
  </si>
  <si>
    <t>Constraint 11</t>
  </si>
  <si>
    <t>PATRIOT_BATTERIES (C41) &lt;= PATRIOT_MAX_NOW (the limit of 8; 0 in Option 2); 2 sites each, so 8 batteries cover all 16 sites</t>
  </si>
  <si>
    <t>Constraint 12</t>
  </si>
  <si>
    <t>QU Patriot columns (B35:C38) = 0 - Patriot interceptors only defend sites a battery covers</t>
  </si>
  <si>
    <t>Constraint 13</t>
  </si>
  <si>
    <t>QC_SLACK (B118) &gt;= 0 - nothing at covered sites when no site is covered</t>
  </si>
  <si>
    <t>Constraint 14</t>
  </si>
  <si>
    <t>PATRIOT_BATTERIES (C41) &gt;= PATRIOT_MIN (B164) - Option 1 builds all 8 batteries</t>
  </si>
  <si>
    <t>Constraint 15</t>
  </si>
  <si>
    <t>BUILD_AEGIS (B41) &lt;= AEGIS_ALLOWED (B166) - no Aegis system in Option 1</t>
  </si>
  <si>
    <t>Constraint 16</t>
  </si>
  <si>
    <t>MSE_FULL_SLACK (B167) = 0 - Option 1 loads every battery fully with 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</si>
</sst>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
    <numFmt numFmtId="168" formatCode="0.000"/>
    <numFmt numFmtId="169" formatCode="0.0"/>
  </numFmts>
  <fonts count="14" x14ac:knownFonts="1">
    <font>
      <sz val="11"/>
      <color theme="1"/>
      <name val="Calibri"/>
      <family val="2"/>
      <charset val="1"/>
    </font>
    <font>
      <b/>
      <sz val="14"/>
      <name val="Arial"/>
      <charset val="1"/>
    </font>
    <font>
      <sz val="11"/>
      <color theme="1"/>
      <name val="Arial"/>
      <charset val="1"/>
    </font>
    <font>
      <i/>
      <sz val="11"/>
      <name val="Arial"/>
      <charset val="1"/>
    </font>
    <font>
      <b/>
      <sz val="11"/>
      <color rgb="FFFFFFFF"/>
      <name val="Arial"/>
      <charset val="1"/>
    </font>
    <font>
      <b/>
      <sz val="11"/>
      <name val="Arial"/>
      <charset val="1"/>
    </font>
    <font>
      <sz val="11"/>
      <color rgb="FF0000FF"/>
      <name val="Arial"/>
      <charset val="1"/>
    </font>
    <font>
      <sz val="11"/>
      <name val="Arial"/>
      <charset val="1"/>
    </font>
    <font>
      <sz val="11"/>
      <color rgb="FF008000"/>
      <name val="Arial"/>
      <charset val="1"/>
    </font>
    <font>
      <b/>
      <sz val="13"/>
      <name val="Calibri"/>
    </font>
    <font>
      <b/>
      <sz val="11"/>
      <color rgb="FFFFFFFF"/>
      <name val="Calibri"/>
    </font>
    <font>
      <sz val="11"/>
      <color rgb="FF0000FF"/>
      <name val="Calibri"/>
    </font>
    <font>
      <b/>
      <sz val="11"/>
      <name val="Calibri"/>
    </font>
    <font>
      <b/>
      <sz val="12"/>
      <name val="Calibri"/>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2CC"/>
        <bgColor rgb="FFE2EFDA"/>
      </patternFill>
    </fill>
    <fill>
      <patternFill patternType="solid">
        <fgColor rgb="FFFFFF00"/>
        <bgColor rgb="FFFFFF00"/>
      </patternFill>
    </fill>
    <fill>
      <patternFill patternType="solid">
        <fgColor rgb="FFE2EFDA"/>
        <bgColor rgb="FFD9E1F2"/>
      </patternFill>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2" fillId="2" borderId="0" xfId="0" applyFont="1" applyFill="1"/>
    <xf numFmtId="0" fontId="5" fillId="3" borderId="0" xfId="0" applyFont="1" applyFill="1"/>
    <xf numFmtId="0" fontId="5" fillId="0" borderId="0" xfId="0" applyFont="1"/>
    <xf numFmtId="164" fontId="6" fillId="0" borderId="0" xfId="0" applyNumberFormat="1" applyFont="1"/>
    <xf numFmtId="0" fontId="7" fillId="0" borderId="0" xfId="0" applyFont="1"/>
    <xf numFmtId="0" fontId="6" fillId="0" borderId="0" xfId="0" applyFont="1"/>
    <xf numFmtId="2" fontId="6" fillId="0" borderId="0" xfId="0" applyNumberFormat="1" applyFont="1"/>
    <xf numFmtId="9" fontId="6" fillId="0" borderId="0" xfId="0" applyNumberFormat="1" applyFont="1"/>
    <xf numFmtId="0" fontId="8" fillId="0" borderId="0" xfId="0" applyFont="1"/>
    <xf numFmtId="165" fontId="6" fillId="4" borderId="0" xfId="0" applyNumberFormat="1" applyFont="1" applyFill="1"/>
    <xf numFmtId="9" fontId="6" fillId="4" borderId="0" xfId="0" applyNumberFormat="1" applyFont="1" applyFill="1"/>
    <xf numFmtId="165" fontId="6" fillId="0" borderId="0" xfId="0" applyNumberFormat="1" applyFont="1"/>
    <xf numFmtId="3" fontId="6" fillId="0" borderId="0" xfId="0" applyNumberFormat="1" applyFont="1"/>
    <xf numFmtId="49" fontId="6" fillId="4" borderId="0" xfId="0" applyNumberFormat="1" applyFont="1" applyFill="1"/>
    <xf numFmtId="3" fontId="7" fillId="5" borderId="0" xfId="0" applyNumberFormat="1" applyFont="1" applyFill="1"/>
    <xf numFmtId="1" fontId="2" fillId="5" borderId="0" xfId="0" applyNumberFormat="1" applyFont="1" applyFill="1"/>
    <xf numFmtId="3" fontId="2" fillId="0" borderId="0" xfId="0" applyNumberFormat="1" applyFont="1"/>
    <xf numFmtId="166" fontId="2" fillId="0" borderId="0" xfId="0" applyNumberFormat="1" applyFont="1"/>
    <xf numFmtId="2" fontId="2" fillId="0" borderId="0" xfId="0" applyNumberFormat="1" applyFont="1"/>
    <xf numFmtId="9" fontId="2" fillId="0" borderId="0" xfId="0" applyNumberFormat="1" applyFont="1"/>
    <xf numFmtId="4" fontId="2" fillId="0" borderId="0" xfId="0" applyNumberFormat="1" applyFont="1"/>
    <xf numFmtId="167" fontId="5" fillId="6" borderId="0" xfId="0" applyNumberFormat="1" applyFont="1" applyFill="1"/>
    <xf numFmtId="168" fontId="2" fillId="0" borderId="0" xfId="0" applyNumberFormat="1" applyFont="1"/>
    <xf numFmtId="165" fontId="7" fillId="0" borderId="0" xfId="0" applyNumberFormat="1" applyFont="1"/>
    <xf numFmtId="167" fontId="7" fillId="0" borderId="0" xfId="0" applyNumberFormat="1" applyFont="1"/>
    <xf numFmtId="1" fontId="6" fillId="4" borderId="0" xfId="0" applyNumberFormat="1" applyFont="1" applyFill="1"/>
    <xf numFmtId="1" fontId="2" fillId="0" borderId="0" xfId="0" applyNumberFormat="1" applyFont="1"/>
    <xf numFmtId="167" fontId="2" fillId="0" borderId="0" xfId="0" applyNumberFormat="1" applyFont="1"/>
    <xf numFmtId="169" fontId="2" fillId="0" borderId="0" xfId="0" applyNumberFormat="1" applyFont="1"/>
    <xf numFmtId="0" fontId="9" fillId="0" borderId="0" xfId="0" applyFont="1"/>
    <xf numFmtId="0" fontId="10" fillId="7" borderId="0" xfId="0" applyFont="1" applyFill="1" applyAlignment="1">
      <alignment vertical="center" wrapText="1"/>
    </xf>
    <xf numFmtId="0" fontId="11" fillId="0" borderId="0" xfId="0" applyFont="1"/>
    <xf numFmtId="169" fontId="0" fillId="0" borderId="0" xfId="0" applyNumberFormat="1"/>
    <xf numFmtId="3" fontId="0" fillId="0" borderId="0" xfId="0" applyNumberFormat="1"/>
    <xf numFmtId="0" fontId="12" fillId="0" borderId="0" xfId="0" applyFont="1"/>
    <xf numFmtId="0" fontId="12" fillId="8" borderId="0" xfId="0" applyFont="1" applyFill="1"/>
    <xf numFmtId="0" fontId="13" fillId="0" borderId="0" xfId="0" applyFont="1"/>
    <xf numFmtId="169" fontId="11" fillId="0" borderId="0" xfId="0" applyNumberFormat="1" applyFont="1"/>
    <xf numFmtId="3" fontId="11" fillId="0" borderId="0" xfId="0" applyNumberFormat="1" applyFon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4"/>
  <sheetViews>
    <sheetView tabSelected="1" zoomScaleNormal="100" workbookViewId="0">
      <pane xSplit="1" ySplit="4" topLeftCell="B5" activePane="bottomRight" state="frozen"/>
      <selection pane="topRight" activeCell="B1" sqref="B1"/>
      <selection pane="bottomLeft" activeCell="A5" sqref="A5"/>
      <selection pane="bottomRight"/>
    </sheetView>
  </sheetViews>
  <sheetFormatPr defaultColWidth="8.68359375" defaultRowHeight="14.4" x14ac:dyDescent="0.55000000000000004"/>
  <cols>
    <col min="1" max="1" width="34" customWidth="1"/>
    <col min="2" max="7" width="13" customWidth="1"/>
    <col min="8" max="8" width="26" customWidth="1"/>
    <col min="9" max="9" width="90" customWidth="1"/>
  </cols>
  <sheetData>
    <row r="1" spans="1:10" ht="17.25" customHeight="1" x14ac:dyDescent="0.6">
      <c r="A1" s="1" t="s">
        <v>0</v>
      </c>
      <c r="B1" s="2"/>
      <c r="C1" s="2"/>
      <c r="D1" s="2"/>
      <c r="E1" s="2"/>
      <c r="F1" s="2"/>
      <c r="G1" s="2"/>
      <c r="H1" s="2"/>
      <c r="I1" s="2"/>
      <c r="J1" s="2"/>
    </row>
    <row r="2" spans="1:10" ht="15" customHeight="1" x14ac:dyDescent="0.55000000000000004">
      <c r="A2" s="3" t="s">
        <v>1</v>
      </c>
      <c r="B2" s="2"/>
      <c r="C2" s="2"/>
      <c r="D2" s="2"/>
      <c r="E2" s="2"/>
      <c r="F2" s="2"/>
      <c r="G2" s="2"/>
      <c r="H2" s="2"/>
      <c r="I2" s="2"/>
      <c r="J2" s="2"/>
    </row>
    <row r="3" spans="1:10" ht="15" customHeight="1" x14ac:dyDescent="0.55000000000000004">
      <c r="A3" s="3" t="s">
        <v>2</v>
      </c>
      <c r="B3" s="2"/>
      <c r="C3" s="2"/>
      <c r="D3" s="2"/>
      <c r="E3" s="2"/>
      <c r="F3" s="2"/>
      <c r="G3" s="2"/>
      <c r="H3" s="2"/>
      <c r="I3" s="2"/>
      <c r="J3" s="2"/>
    </row>
    <row r="4" spans="1:10" ht="15" customHeight="1" x14ac:dyDescent="0.55000000000000004">
      <c r="A4" s="2"/>
      <c r="B4" s="2"/>
      <c r="C4" s="2"/>
      <c r="D4" s="2"/>
      <c r="E4" s="2"/>
      <c r="F4" s="2"/>
      <c r="G4" s="2"/>
      <c r="H4" s="2"/>
      <c r="I4" s="2"/>
      <c r="J4" s="2"/>
    </row>
    <row r="5" spans="1:10" ht="15" customHeight="1" x14ac:dyDescent="0.55000000000000004">
      <c r="A5" s="4" t="s">
        <v>3</v>
      </c>
      <c r="B5" s="5"/>
      <c r="C5" s="5"/>
      <c r="D5" s="5"/>
      <c r="E5" s="5"/>
      <c r="F5" s="5"/>
      <c r="G5" s="5"/>
      <c r="H5" s="5"/>
      <c r="I5" s="5"/>
      <c r="J5" s="5"/>
    </row>
    <row r="6" spans="1:10" ht="15" customHeight="1" x14ac:dyDescent="0.55000000000000004">
      <c r="A6" s="6" t="s">
        <v>4</v>
      </c>
      <c r="B6" s="6" t="s">
        <v>5</v>
      </c>
      <c r="C6" s="6" t="s">
        <v>6</v>
      </c>
      <c r="D6" s="6" t="s">
        <v>7</v>
      </c>
      <c r="E6" s="6" t="s">
        <v>8</v>
      </c>
      <c r="F6" s="6" t="s">
        <v>9</v>
      </c>
      <c r="G6" s="6" t="s">
        <v>10</v>
      </c>
      <c r="H6" s="6" t="s">
        <v>11</v>
      </c>
      <c r="I6" s="6" t="s">
        <v>12</v>
      </c>
      <c r="J6" s="2"/>
    </row>
    <row r="7" spans="1:10" ht="15" customHeight="1" x14ac:dyDescent="0.55000000000000004">
      <c r="A7" s="7" t="s">
        <v>13</v>
      </c>
      <c r="B7" s="8">
        <v>3.7</v>
      </c>
      <c r="C7" s="8">
        <v>4.2</v>
      </c>
      <c r="D7" s="8">
        <v>12.7</v>
      </c>
      <c r="E7" s="8">
        <v>27.9</v>
      </c>
      <c r="F7" s="8">
        <v>2.0499999999999998</v>
      </c>
      <c r="G7" s="8">
        <v>6.55</v>
      </c>
      <c r="H7" s="9" t="s">
        <v>14</v>
      </c>
      <c r="I7" s="9" t="s">
        <v>15</v>
      </c>
      <c r="J7" s="2"/>
    </row>
    <row r="8" spans="1:10" ht="15" customHeight="1" x14ac:dyDescent="0.55000000000000004">
      <c r="A8" s="7" t="s">
        <v>16</v>
      </c>
      <c r="B8" s="10" t="s">
        <v>17</v>
      </c>
      <c r="C8" s="10" t="s">
        <v>17</v>
      </c>
      <c r="D8" s="10" t="s">
        <v>7</v>
      </c>
      <c r="E8" s="10" t="s">
        <v>18</v>
      </c>
      <c r="F8" s="10" t="s">
        <v>18</v>
      </c>
      <c r="G8" s="10" t="s">
        <v>18</v>
      </c>
      <c r="H8" s="9" t="s">
        <v>19</v>
      </c>
      <c r="I8" s="9" t="s">
        <v>20</v>
      </c>
      <c r="J8" s="2"/>
    </row>
    <row r="9" spans="1:10" ht="15" customHeight="1" x14ac:dyDescent="0.55000000000000004">
      <c r="A9" s="7" t="s">
        <v>21</v>
      </c>
      <c r="B9" s="11">
        <v>0.5</v>
      </c>
      <c r="C9" s="11">
        <v>0.5</v>
      </c>
      <c r="D9" s="11">
        <v>0.5</v>
      </c>
      <c r="E9" s="11">
        <v>0.5</v>
      </c>
      <c r="F9" s="11">
        <v>0</v>
      </c>
      <c r="G9" s="11">
        <v>0.5</v>
      </c>
      <c r="H9" s="9" t="s">
        <v>22</v>
      </c>
      <c r="I9" s="9" t="s">
        <v>23</v>
      </c>
      <c r="J9" s="2"/>
    </row>
    <row r="10" spans="1:10" ht="15" customHeight="1" x14ac:dyDescent="0.55000000000000004">
      <c r="A10" s="7" t="s">
        <v>24</v>
      </c>
      <c r="B10" s="11">
        <v>0.5</v>
      </c>
      <c r="C10" s="11">
        <v>0.5</v>
      </c>
      <c r="D10" s="11">
        <v>0</v>
      </c>
      <c r="E10" s="11">
        <v>0</v>
      </c>
      <c r="F10" s="11">
        <v>0.5</v>
      </c>
      <c r="G10" s="11">
        <v>0.5</v>
      </c>
      <c r="H10" s="9" t="s">
        <v>22</v>
      </c>
      <c r="I10" s="9" t="s">
        <v>25</v>
      </c>
      <c r="J10" s="2"/>
    </row>
    <row r="11" spans="1:10" ht="15" customHeight="1" x14ac:dyDescent="0.55000000000000004">
      <c r="A11" s="7" t="s">
        <v>26</v>
      </c>
      <c r="B11" s="11">
        <v>0.5</v>
      </c>
      <c r="C11" s="11">
        <v>0.5</v>
      </c>
      <c r="D11" s="11">
        <v>0</v>
      </c>
      <c r="E11" s="11">
        <v>0</v>
      </c>
      <c r="F11" s="11">
        <v>0.5</v>
      </c>
      <c r="G11" s="11">
        <v>0.5</v>
      </c>
      <c r="H11" s="9" t="s">
        <v>22</v>
      </c>
      <c r="I11" s="9" t="s">
        <v>25</v>
      </c>
      <c r="J11" s="2"/>
    </row>
    <row r="12" spans="1:10" ht="15" customHeight="1" x14ac:dyDescent="0.55000000000000004">
      <c r="A12" s="7" t="s">
        <v>27</v>
      </c>
      <c r="B12" s="11">
        <v>0</v>
      </c>
      <c r="C12" s="11">
        <v>0</v>
      </c>
      <c r="D12" s="11">
        <v>0</v>
      </c>
      <c r="E12" s="11">
        <v>0</v>
      </c>
      <c r="F12" s="11">
        <v>0</v>
      </c>
      <c r="G12" s="11">
        <v>0.5</v>
      </c>
      <c r="H12" s="9" t="s">
        <v>22</v>
      </c>
      <c r="I12" s="9" t="s">
        <v>25</v>
      </c>
      <c r="J12" s="2"/>
    </row>
    <row r="13" spans="1:10" ht="15" customHeight="1" x14ac:dyDescent="0.55000000000000004">
      <c r="A13" s="7" t="s">
        <v>28</v>
      </c>
      <c r="B13" s="10">
        <v>2000</v>
      </c>
      <c r="C13" s="10">
        <v>2000</v>
      </c>
      <c r="D13" s="10">
        <v>2000</v>
      </c>
      <c r="E13" s="10">
        <v>2000</v>
      </c>
      <c r="F13" s="10">
        <v>2000</v>
      </c>
      <c r="G13" s="10">
        <v>2000</v>
      </c>
      <c r="H13" s="9" t="s">
        <v>29</v>
      </c>
      <c r="I13" s="9" t="s">
        <v>30</v>
      </c>
      <c r="J13" s="2"/>
    </row>
    <row r="14" spans="1:10" ht="15" customHeight="1" x14ac:dyDescent="0.55000000000000004">
      <c r="A14" s="2"/>
      <c r="B14" s="2"/>
      <c r="C14" s="2"/>
      <c r="D14" s="2"/>
      <c r="E14" s="2"/>
      <c r="F14" s="2"/>
      <c r="G14" s="2"/>
      <c r="H14" s="2"/>
      <c r="I14" s="2"/>
      <c r="J14" s="2"/>
    </row>
    <row r="15" spans="1:10" ht="15" customHeight="1" x14ac:dyDescent="0.55000000000000004">
      <c r="A15" s="4" t="s">
        <v>31</v>
      </c>
      <c r="B15" s="5"/>
      <c r="C15" s="5"/>
      <c r="D15" s="5"/>
      <c r="E15" s="5"/>
      <c r="F15" s="5"/>
      <c r="G15" s="5"/>
      <c r="H15" s="5"/>
      <c r="I15" s="5"/>
      <c r="J15" s="5"/>
    </row>
    <row r="16" spans="1:10" ht="15" customHeight="1" x14ac:dyDescent="0.55000000000000004">
      <c r="A16" s="6" t="s">
        <v>4</v>
      </c>
      <c r="B16" s="6" t="s">
        <v>32</v>
      </c>
      <c r="C16" s="6" t="s">
        <v>33</v>
      </c>
      <c r="D16" s="6" t="s">
        <v>34</v>
      </c>
      <c r="E16" s="6" t="s">
        <v>35</v>
      </c>
      <c r="F16" s="2"/>
      <c r="G16" s="2"/>
      <c r="H16" s="6" t="s">
        <v>11</v>
      </c>
      <c r="I16" s="6" t="s">
        <v>12</v>
      </c>
      <c r="J16" s="2"/>
    </row>
    <row r="17" spans="1:10" ht="15" customHeight="1" x14ac:dyDescent="0.55000000000000004">
      <c r="A17" s="7" t="s">
        <v>36</v>
      </c>
      <c r="B17" s="10">
        <v>10</v>
      </c>
      <c r="C17" s="10">
        <v>5</v>
      </c>
      <c r="D17" s="10">
        <v>4</v>
      </c>
      <c r="E17" s="10">
        <v>1</v>
      </c>
      <c r="F17" s="2"/>
      <c r="G17" s="2"/>
      <c r="H17" s="2" t="s">
        <v>37</v>
      </c>
      <c r="I17" s="2" t="s">
        <v>38</v>
      </c>
      <c r="J17" s="2"/>
    </row>
    <row r="18" spans="1:10" ht="15" customHeight="1" x14ac:dyDescent="0.55000000000000004">
      <c r="A18" s="7" t="s">
        <v>39</v>
      </c>
      <c r="B18" s="12">
        <v>0</v>
      </c>
      <c r="C18" s="12">
        <v>0</v>
      </c>
      <c r="D18" s="12">
        <v>0</v>
      </c>
      <c r="E18" s="12">
        <v>0</v>
      </c>
      <c r="F18" s="2"/>
      <c r="G18" s="2"/>
      <c r="H18" s="2" t="s">
        <v>40</v>
      </c>
      <c r="I18" s="2" t="s">
        <v>41</v>
      </c>
      <c r="J18" s="2"/>
    </row>
    <row r="19" spans="1:10" ht="15" customHeight="1" x14ac:dyDescent="0.55000000000000004">
      <c r="A19" s="7" t="s">
        <v>42</v>
      </c>
      <c r="B19" s="13">
        <f>INDEX(Scenarios!B$5:B$7,MATCH(ACTIVE_RAID,Scenarios!$A$5:$A$7,0))</f>
        <v>40</v>
      </c>
      <c r="C19" s="13">
        <f>INDEX(Scenarios!C$5:C$7,MATCH(ACTIVE_RAID,Scenarios!$A$5:$A$7,0))</f>
        <v>30</v>
      </c>
      <c r="D19" s="13">
        <f>INDEX(Scenarios!D$5:D$7,MATCH(ACTIVE_RAID,Scenarios!$A$5:$A$7,0))</f>
        <v>10</v>
      </c>
      <c r="E19" s="13">
        <f>INDEX(Scenarios!E$5:E$7,MATCH(ACTIVE_RAID,Scenarios!$A$5:$A$7,0))</f>
        <v>50</v>
      </c>
      <c r="F19" s="2"/>
      <c r="G19" s="2"/>
      <c r="H19" s="2" t="s">
        <v>43</v>
      </c>
      <c r="I19" s="2" t="s">
        <v>44</v>
      </c>
      <c r="J19" s="2"/>
    </row>
    <row r="20" spans="1:10" ht="15" customHeight="1" x14ac:dyDescent="0.55000000000000004">
      <c r="A20" s="2"/>
      <c r="B20" s="2"/>
      <c r="C20" s="2"/>
      <c r="D20" s="2"/>
      <c r="E20" s="2"/>
      <c r="F20" s="2"/>
      <c r="G20" s="2"/>
      <c r="H20" s="2"/>
      <c r="I20" s="2"/>
      <c r="J20" s="2"/>
    </row>
    <row r="21" spans="1:10" ht="15" customHeight="1" x14ac:dyDescent="0.55000000000000004">
      <c r="A21" s="4" t="s">
        <v>45</v>
      </c>
      <c r="B21" s="5"/>
      <c r="C21" s="5"/>
      <c r="D21" s="5"/>
      <c r="E21" s="5"/>
      <c r="F21" s="5"/>
      <c r="G21" s="5"/>
      <c r="H21" s="5"/>
      <c r="I21" s="5"/>
      <c r="J21" s="5"/>
    </row>
    <row r="22" spans="1:10" ht="15" customHeight="1" x14ac:dyDescent="0.55000000000000004">
      <c r="A22" s="6" t="s">
        <v>4</v>
      </c>
      <c r="B22" s="6" t="s">
        <v>46</v>
      </c>
      <c r="C22" s="2"/>
      <c r="D22" s="2"/>
      <c r="E22" s="2"/>
      <c r="F22" s="2"/>
      <c r="G22" s="2"/>
      <c r="H22" s="6" t="s">
        <v>11</v>
      </c>
      <c r="I22" s="6" t="s">
        <v>12</v>
      </c>
      <c r="J22" s="2"/>
    </row>
    <row r="23" spans="1:10" ht="15" customHeight="1" x14ac:dyDescent="0.55000000000000004">
      <c r="A23" s="7" t="s">
        <v>47</v>
      </c>
      <c r="B23" s="14">
        <v>8000</v>
      </c>
      <c r="C23" s="2"/>
      <c r="D23" s="2"/>
      <c r="E23" s="2"/>
      <c r="F23" s="2"/>
      <c r="G23" s="2"/>
      <c r="H23" s="2" t="s">
        <v>48</v>
      </c>
      <c r="I23" s="2" t="s">
        <v>49</v>
      </c>
      <c r="J23" s="2"/>
    </row>
    <row r="24" spans="1:10" ht="15" customHeight="1" x14ac:dyDescent="0.55000000000000004">
      <c r="A24" s="7" t="s">
        <v>50</v>
      </c>
      <c r="B24" s="15">
        <v>0</v>
      </c>
      <c r="C24" s="2"/>
      <c r="D24" s="2"/>
      <c r="E24" s="2"/>
      <c r="F24" s="2"/>
      <c r="G24" s="2"/>
      <c r="H24" s="2" t="s">
        <v>51</v>
      </c>
      <c r="I24" s="2" t="s">
        <v>52</v>
      </c>
      <c r="J24" s="2"/>
    </row>
    <row r="25" spans="1:10" ht="15" customHeight="1" x14ac:dyDescent="0.55000000000000004">
      <c r="A25" s="7" t="s">
        <v>53</v>
      </c>
      <c r="B25" s="16">
        <v>1900</v>
      </c>
      <c r="C25" s="2"/>
      <c r="D25" s="2"/>
      <c r="E25" s="2"/>
      <c r="F25" s="2"/>
      <c r="G25" s="2"/>
      <c r="H25" s="2" t="s">
        <v>54</v>
      </c>
      <c r="I25" s="2" t="s">
        <v>55</v>
      </c>
      <c r="J25" s="2"/>
    </row>
    <row r="26" spans="1:10" ht="15" customHeight="1" x14ac:dyDescent="0.55000000000000004">
      <c r="A26" s="7" t="s">
        <v>56</v>
      </c>
      <c r="B26" s="16">
        <v>400</v>
      </c>
      <c r="C26" s="2"/>
      <c r="D26" s="2"/>
      <c r="E26" s="2"/>
      <c r="F26" s="2"/>
      <c r="G26" s="2"/>
      <c r="H26" s="2" t="s">
        <v>57</v>
      </c>
      <c r="I26" s="2" t="s">
        <v>58</v>
      </c>
      <c r="J26" s="2"/>
    </row>
    <row r="27" spans="1:10" ht="15" customHeight="1" x14ac:dyDescent="0.55000000000000004">
      <c r="A27" s="7" t="s">
        <v>59</v>
      </c>
      <c r="B27" s="16">
        <v>0</v>
      </c>
      <c r="C27" s="2"/>
      <c r="D27" s="2"/>
      <c r="E27" s="2"/>
      <c r="F27" s="2"/>
      <c r="G27" s="2"/>
      <c r="H27" s="2" t="s">
        <v>48</v>
      </c>
      <c r="I27" s="2" t="s">
        <v>60</v>
      </c>
      <c r="J27" s="2"/>
    </row>
    <row r="28" spans="1:10" ht="15" customHeight="1" x14ac:dyDescent="0.55000000000000004">
      <c r="A28" s="7" t="s">
        <v>61</v>
      </c>
      <c r="B28" s="17">
        <v>96</v>
      </c>
      <c r="C28" s="2"/>
      <c r="D28" s="2"/>
      <c r="E28" s="2"/>
      <c r="F28" s="2"/>
      <c r="G28" s="2"/>
      <c r="H28" s="2" t="s">
        <v>62</v>
      </c>
      <c r="I28" s="2" t="s">
        <v>63</v>
      </c>
      <c r="J28" s="2"/>
    </row>
    <row r="29" spans="1:10" ht="15" customHeight="1" x14ac:dyDescent="0.55000000000000004">
      <c r="A29" s="7" t="s">
        <v>64</v>
      </c>
      <c r="B29" s="17">
        <v>6</v>
      </c>
      <c r="C29" s="2"/>
      <c r="D29" s="2"/>
      <c r="E29" s="2"/>
      <c r="F29" s="2"/>
      <c r="G29" s="2"/>
      <c r="H29" s="2" t="s">
        <v>65</v>
      </c>
      <c r="I29" s="2" t="s">
        <v>66</v>
      </c>
      <c r="J29" s="2"/>
    </row>
    <row r="30" spans="1:10" ht="15" customHeight="1" x14ac:dyDescent="0.55000000000000004">
      <c r="A30" s="7" t="s">
        <v>67</v>
      </c>
      <c r="B30" s="17">
        <v>48</v>
      </c>
      <c r="C30" s="2"/>
      <c r="D30" s="2"/>
      <c r="E30" s="2"/>
      <c r="F30" s="2"/>
      <c r="G30" s="2"/>
      <c r="H30" s="2" t="s">
        <v>68</v>
      </c>
      <c r="I30" s="2" t="s">
        <v>69</v>
      </c>
      <c r="J30" s="2"/>
    </row>
    <row r="31" spans="1:10" ht="15" customHeight="1" x14ac:dyDescent="0.55000000000000004">
      <c r="A31" s="7" t="s">
        <v>70</v>
      </c>
      <c r="B31" s="18" t="s">
        <v>71</v>
      </c>
      <c r="C31" s="2"/>
      <c r="D31" s="2"/>
      <c r="E31" s="2"/>
      <c r="F31" s="2"/>
      <c r="G31" s="2"/>
      <c r="H31" s="2" t="s">
        <v>72</v>
      </c>
      <c r="I31" s="2" t="s">
        <v>73</v>
      </c>
      <c r="J31" s="2"/>
    </row>
    <row r="32" spans="1:10" ht="15" customHeight="1" x14ac:dyDescent="0.55000000000000004">
      <c r="A32" s="2"/>
      <c r="B32" s="2"/>
      <c r="C32" s="2"/>
      <c r="D32" s="2"/>
      <c r="E32" s="2"/>
      <c r="F32" s="2"/>
      <c r="G32" s="2"/>
      <c r="H32" s="2"/>
      <c r="I32" s="2"/>
      <c r="J32" s="2"/>
    </row>
    <row r="33" spans="1:10" ht="15" customHeight="1" x14ac:dyDescent="0.55000000000000004">
      <c r="A33" s="4" t="s">
        <v>74</v>
      </c>
      <c r="B33" s="5"/>
      <c r="C33" s="5"/>
      <c r="D33" s="5"/>
      <c r="E33" s="5"/>
      <c r="F33" s="5"/>
      <c r="G33" s="5"/>
      <c r="H33" s="5"/>
      <c r="I33" s="5"/>
      <c r="J33" s="5"/>
    </row>
    <row r="34" spans="1:10" ht="15" customHeight="1" x14ac:dyDescent="0.55000000000000004">
      <c r="A34" s="6" t="s">
        <v>75</v>
      </c>
      <c r="B34" s="6" t="s">
        <v>5</v>
      </c>
      <c r="C34" s="6" t="s">
        <v>6</v>
      </c>
      <c r="D34" s="6" t="s">
        <v>7</v>
      </c>
      <c r="E34" s="6" t="s">
        <v>8</v>
      </c>
      <c r="F34" s="6" t="s">
        <v>9</v>
      </c>
      <c r="G34" s="6" t="s">
        <v>10</v>
      </c>
      <c r="H34" s="6" t="s">
        <v>11</v>
      </c>
      <c r="I34" s="6" t="s">
        <v>76</v>
      </c>
      <c r="J34" s="2"/>
    </row>
    <row r="35" spans="1:10" ht="15" customHeight="1" x14ac:dyDescent="0.55000000000000004">
      <c r="A35" s="7" t="s">
        <v>77</v>
      </c>
      <c r="B35" s="19">
        <v>0</v>
      </c>
      <c r="C35" s="19">
        <v>0</v>
      </c>
      <c r="D35" s="19">
        <v>0</v>
      </c>
      <c r="E35" s="19">
        <v>0</v>
      </c>
      <c r="F35" s="19">
        <v>0</v>
      </c>
      <c r="G35" s="19">
        <v>0</v>
      </c>
      <c r="H35" s="2" t="s">
        <v>68</v>
      </c>
      <c r="I35" s="2" t="s">
        <v>78</v>
      </c>
      <c r="J35" s="2"/>
    </row>
    <row r="36" spans="1:10" ht="15" customHeight="1" x14ac:dyDescent="0.55000000000000004">
      <c r="A36" s="7" t="s">
        <v>79</v>
      </c>
      <c r="B36" s="19">
        <v>0</v>
      </c>
      <c r="C36" s="19">
        <v>0</v>
      </c>
      <c r="D36" s="19">
        <v>0</v>
      </c>
      <c r="E36" s="19">
        <v>0</v>
      </c>
      <c r="F36" s="19">
        <v>0</v>
      </c>
      <c r="G36" s="19">
        <v>0</v>
      </c>
      <c r="H36" s="2" t="s">
        <v>68</v>
      </c>
      <c r="I36" s="2" t="s">
        <v>78</v>
      </c>
      <c r="J36" s="2"/>
    </row>
    <row r="37" spans="1:10" ht="15" customHeight="1" x14ac:dyDescent="0.55000000000000004">
      <c r="A37" s="7" t="s">
        <v>80</v>
      </c>
      <c r="B37" s="19">
        <v>0</v>
      </c>
      <c r="C37" s="19">
        <v>0</v>
      </c>
      <c r="D37" s="19">
        <v>0</v>
      </c>
      <c r="E37" s="19">
        <v>0</v>
      </c>
      <c r="F37" s="19">
        <v>0</v>
      </c>
      <c r="G37" s="19">
        <v>0</v>
      </c>
      <c r="H37" s="2" t="s">
        <v>68</v>
      </c>
      <c r="I37" s="2" t="s">
        <v>78</v>
      </c>
      <c r="J37" s="2"/>
    </row>
    <row r="38" spans="1:10" ht="15" customHeight="1" x14ac:dyDescent="0.55000000000000004">
      <c r="A38" s="7" t="s">
        <v>81</v>
      </c>
      <c r="B38" s="19">
        <v>0</v>
      </c>
      <c r="C38" s="19">
        <v>0</v>
      </c>
      <c r="D38" s="19">
        <v>0</v>
      </c>
      <c r="E38" s="19">
        <v>0</v>
      </c>
      <c r="F38" s="19">
        <v>0</v>
      </c>
      <c r="G38" s="19">
        <v>0</v>
      </c>
      <c r="H38" s="2" t="s">
        <v>68</v>
      </c>
      <c r="I38" s="2" t="s">
        <v>78</v>
      </c>
      <c r="J38" s="2"/>
    </row>
    <row r="39" spans="1:10" ht="15" customHeight="1" x14ac:dyDescent="0.55000000000000004">
      <c r="A39" s="2"/>
      <c r="B39" s="2"/>
      <c r="C39" s="2"/>
      <c r="D39" s="2"/>
      <c r="E39" s="2"/>
      <c r="F39" s="2"/>
      <c r="G39" s="2"/>
      <c r="H39" s="2"/>
      <c r="I39" s="2"/>
      <c r="J39" s="2"/>
    </row>
    <row r="40" spans="1:10" ht="15" customHeight="1" x14ac:dyDescent="0.55000000000000004">
      <c r="A40" s="6" t="s">
        <v>82</v>
      </c>
      <c r="B40" s="6" t="s">
        <v>18</v>
      </c>
      <c r="C40" s="6" t="s">
        <v>83</v>
      </c>
      <c r="D40" s="6" t="s">
        <v>7</v>
      </c>
      <c r="E40" s="2"/>
      <c r="F40" s="2"/>
      <c r="G40" s="2"/>
      <c r="H40" s="6" t="s">
        <v>11</v>
      </c>
      <c r="I40" s="6" t="s">
        <v>76</v>
      </c>
      <c r="J40" s="2"/>
    </row>
    <row r="41" spans="1:10" ht="15" customHeight="1" x14ac:dyDescent="0.55000000000000004">
      <c r="A41" s="7" t="s">
        <v>84</v>
      </c>
      <c r="B41" s="20">
        <v>1</v>
      </c>
      <c r="C41" s="20">
        <v>8</v>
      </c>
      <c r="D41" s="10">
        <v>1</v>
      </c>
      <c r="E41" s="2"/>
      <c r="F41" s="2"/>
      <c r="G41" s="2"/>
      <c r="H41" s="2" t="s">
        <v>85</v>
      </c>
      <c r="I41" s="2" t="s">
        <v>86</v>
      </c>
      <c r="J41" s="2"/>
    </row>
    <row r="42" spans="1:10" ht="15" customHeight="1" x14ac:dyDescent="0.55000000000000004">
      <c r="A42" s="2"/>
      <c r="B42" s="2"/>
      <c r="C42" s="2"/>
      <c r="D42" s="2"/>
      <c r="E42" s="2"/>
      <c r="F42" s="2"/>
      <c r="G42" s="2"/>
      <c r="H42" s="2"/>
      <c r="I42" s="2"/>
      <c r="J42" s="2"/>
    </row>
    <row r="43" spans="1:10" ht="15" customHeight="1" x14ac:dyDescent="0.55000000000000004">
      <c r="A43" s="4" t="s">
        <v>87</v>
      </c>
      <c r="B43" s="5"/>
      <c r="C43" s="5"/>
      <c r="D43" s="5"/>
      <c r="E43" s="5"/>
      <c r="F43" s="5"/>
      <c r="G43" s="5"/>
      <c r="H43" s="5"/>
      <c r="I43" s="5"/>
      <c r="J43" s="5"/>
    </row>
    <row r="44" spans="1:10" ht="15" customHeight="1" x14ac:dyDescent="0.55000000000000004">
      <c r="A44" s="6" t="s">
        <v>4</v>
      </c>
      <c r="B44" s="6" t="s">
        <v>5</v>
      </c>
      <c r="C44" s="6" t="s">
        <v>6</v>
      </c>
      <c r="D44" s="6" t="s">
        <v>7</v>
      </c>
      <c r="E44" s="6" t="s">
        <v>8</v>
      </c>
      <c r="F44" s="6" t="s">
        <v>9</v>
      </c>
      <c r="G44" s="6" t="s">
        <v>10</v>
      </c>
      <c r="H44" s="6" t="s">
        <v>11</v>
      </c>
      <c r="I44" s="6" t="s">
        <v>88</v>
      </c>
      <c r="J44" s="2"/>
    </row>
    <row r="45" spans="1:10" ht="15" customHeight="1" x14ac:dyDescent="0.55000000000000004">
      <c r="A45" s="7" t="s">
        <v>89</v>
      </c>
      <c r="B45" s="21">
        <f t="shared" ref="B45:G45" si="0">SUM(B35:B38)+SUM(B108:B111)</f>
        <v>322</v>
      </c>
      <c r="C45" s="21">
        <f t="shared" si="0"/>
        <v>257</v>
      </c>
      <c r="D45" s="21">
        <f t="shared" si="0"/>
        <v>0</v>
      </c>
      <c r="E45" s="21">
        <f t="shared" si="0"/>
        <v>0</v>
      </c>
      <c r="F45" s="21">
        <f t="shared" si="0"/>
        <v>0</v>
      </c>
      <c r="G45" s="21">
        <f t="shared" si="0"/>
        <v>96</v>
      </c>
      <c r="H45" s="2" t="s">
        <v>68</v>
      </c>
      <c r="I45" s="2" t="s">
        <v>90</v>
      </c>
      <c r="J45" s="2"/>
    </row>
    <row r="46" spans="1:10" ht="15" customHeight="1" x14ac:dyDescent="0.55000000000000004">
      <c r="A46" s="7" t="s">
        <v>91</v>
      </c>
      <c r="B46" s="22">
        <f t="shared" ref="B46:G46" si="1">B7*B45</f>
        <v>1191.4000000000001</v>
      </c>
      <c r="C46" s="22">
        <f t="shared" si="1"/>
        <v>1079.4000000000001</v>
      </c>
      <c r="D46" s="22">
        <f t="shared" si="1"/>
        <v>0</v>
      </c>
      <c r="E46" s="22">
        <f t="shared" si="1"/>
        <v>0</v>
      </c>
      <c r="F46" s="22">
        <f t="shared" si="1"/>
        <v>0</v>
      </c>
      <c r="G46" s="22">
        <f t="shared" si="1"/>
        <v>628.79999999999995</v>
      </c>
      <c r="H46" s="2" t="s">
        <v>48</v>
      </c>
      <c r="I46" s="2" t="s">
        <v>92</v>
      </c>
      <c r="J46" s="2"/>
    </row>
    <row r="47" spans="1:10" ht="15" customHeight="1" x14ac:dyDescent="0.55000000000000004">
      <c r="A47" s="2"/>
      <c r="B47" s="2"/>
      <c r="C47" s="2"/>
      <c r="D47" s="2"/>
      <c r="E47" s="2"/>
      <c r="F47" s="2"/>
      <c r="G47" s="2"/>
      <c r="H47" s="2"/>
      <c r="I47" s="2"/>
      <c r="J47" s="2"/>
    </row>
    <row r="48" spans="1:10" ht="15" customHeight="1" x14ac:dyDescent="0.55000000000000004">
      <c r="A48" s="6" t="s">
        <v>4</v>
      </c>
      <c r="B48" s="6" t="s">
        <v>32</v>
      </c>
      <c r="C48" s="6" t="s">
        <v>33</v>
      </c>
      <c r="D48" s="6" t="s">
        <v>34</v>
      </c>
      <c r="E48" s="6" t="s">
        <v>35</v>
      </c>
      <c r="F48" s="6" t="s">
        <v>93</v>
      </c>
      <c r="G48" s="2"/>
      <c r="H48" s="6" t="s">
        <v>11</v>
      </c>
      <c r="I48" s="6" t="s">
        <v>88</v>
      </c>
      <c r="J48" s="2"/>
    </row>
    <row r="49" spans="1:10" ht="15" customHeight="1" x14ac:dyDescent="0.55000000000000004">
      <c r="A49" s="7" t="s">
        <v>94</v>
      </c>
      <c r="B49" s="23">
        <f>B123+B124</f>
        <v>200.31953518182419</v>
      </c>
      <c r="C49" s="23">
        <f>C123+C124</f>
        <v>150.41293818150814</v>
      </c>
      <c r="D49" s="23">
        <f>D123+D124</f>
        <v>50.599744180876009</v>
      </c>
      <c r="E49" s="23">
        <f>E123+E124</f>
        <v>66.542129333754744</v>
      </c>
      <c r="F49" s="2"/>
      <c r="G49" s="2"/>
      <c r="H49" s="2" t="s">
        <v>95</v>
      </c>
      <c r="I49" s="2" t="s">
        <v>96</v>
      </c>
      <c r="J49" s="2"/>
    </row>
    <row r="50" spans="1:10" ht="15" customHeight="1" x14ac:dyDescent="0.55000000000000004">
      <c r="A50" s="7" t="s">
        <v>97</v>
      </c>
      <c r="B50" s="23">
        <f>B125+B126</f>
        <v>39.732626554474187</v>
      </c>
      <c r="C50" s="23">
        <f>C125+C126</f>
        <v>29.800624884152146</v>
      </c>
      <c r="D50" s="23">
        <f>D125+D126</f>
        <v>9.9365427815346692</v>
      </c>
      <c r="E50" s="23">
        <f>E125+E126</f>
        <v>36.787274492982746</v>
      </c>
      <c r="F50" s="23">
        <f>SUM(B50:E50)</f>
        <v>116.25706871314375</v>
      </c>
      <c r="G50" s="2"/>
      <c r="H50" s="2" t="s">
        <v>98</v>
      </c>
      <c r="I50" s="2" t="s">
        <v>99</v>
      </c>
      <c r="J50" s="2"/>
    </row>
    <row r="51" spans="1:10" ht="15" customHeight="1" x14ac:dyDescent="0.55000000000000004">
      <c r="A51" s="7" t="s">
        <v>100</v>
      </c>
      <c r="B51" s="24">
        <f>IF(B19=0,0,B50/B19)</f>
        <v>0.99331566386185466</v>
      </c>
      <c r="C51" s="24">
        <f>IF(C19=0,0,C50/C19)</f>
        <v>0.99335416280507149</v>
      </c>
      <c r="D51" s="24">
        <f>IF(D19=0,0,D50/D19)</f>
        <v>0.99365427815346696</v>
      </c>
      <c r="E51" s="24">
        <f>IF(E19=0,0,E50/E19)</f>
        <v>0.73574548985965493</v>
      </c>
      <c r="F51" s="2"/>
      <c r="G51" s="2"/>
      <c r="H51" s="2" t="s">
        <v>101</v>
      </c>
      <c r="I51" s="2" t="s">
        <v>102</v>
      </c>
      <c r="J51" s="2"/>
    </row>
    <row r="52" spans="1:10" ht="15" customHeight="1" x14ac:dyDescent="0.55000000000000004">
      <c r="A52" s="7" t="s">
        <v>103</v>
      </c>
      <c r="B52" s="23">
        <f>B18*B19</f>
        <v>0</v>
      </c>
      <c r="C52" s="23">
        <f>C18*C19</f>
        <v>0</v>
      </c>
      <c r="D52" s="23">
        <f>D18*D19</f>
        <v>0</v>
      </c>
      <c r="E52" s="23">
        <f>E18*E19</f>
        <v>0</v>
      </c>
      <c r="F52" s="2"/>
      <c r="G52" s="2"/>
      <c r="H52" s="2" t="s">
        <v>98</v>
      </c>
      <c r="I52" s="2" t="s">
        <v>104</v>
      </c>
      <c r="J52" s="2"/>
    </row>
    <row r="53" spans="1:10" ht="15" customHeight="1" x14ac:dyDescent="0.55000000000000004">
      <c r="A53" s="2"/>
      <c r="B53" s="2"/>
      <c r="C53" s="2"/>
      <c r="D53" s="2"/>
      <c r="E53" s="2"/>
      <c r="F53" s="2"/>
      <c r="G53" s="2"/>
      <c r="H53" s="2"/>
      <c r="I53" s="2"/>
      <c r="J53" s="2"/>
    </row>
    <row r="54" spans="1:10" ht="15" customHeight="1" x14ac:dyDescent="0.55000000000000004">
      <c r="A54" s="6" t="s">
        <v>4</v>
      </c>
      <c r="B54" s="6" t="s">
        <v>46</v>
      </c>
      <c r="C54" s="2"/>
      <c r="D54" s="2"/>
      <c r="E54" s="2"/>
      <c r="F54" s="2"/>
      <c r="G54" s="2"/>
      <c r="H54" s="6" t="s">
        <v>11</v>
      </c>
      <c r="I54" s="6" t="s">
        <v>88</v>
      </c>
      <c r="J54" s="2"/>
    </row>
    <row r="55" spans="1:10" ht="15" customHeight="1" x14ac:dyDescent="0.55000000000000004">
      <c r="A55" s="7" t="s">
        <v>105</v>
      </c>
      <c r="B55" s="22">
        <f>SUMPRODUCT(PRICE,Q_TOTAL)</f>
        <v>2899.6000000000004</v>
      </c>
      <c r="C55" s="2"/>
      <c r="D55" s="2"/>
      <c r="E55" s="2"/>
      <c r="F55" s="2"/>
      <c r="G55" s="2"/>
      <c r="H55" s="2" t="s">
        <v>48</v>
      </c>
      <c r="I55" s="2" t="s">
        <v>106</v>
      </c>
      <c r="J55" s="2"/>
    </row>
    <row r="56" spans="1:10" ht="15" customHeight="1" x14ac:dyDescent="0.55000000000000004">
      <c r="A56" s="7" t="s">
        <v>107</v>
      </c>
      <c r="B56" s="22">
        <f>SYS_COST_AEGIS*BUILD_AEGIS+SYS_COST_PATRIOT*PATRIOT_BATTERIES+SYS_COST_THAAD*BUILD_THAAD</f>
        <v>5100</v>
      </c>
      <c r="C56" s="2"/>
      <c r="D56" s="2"/>
      <c r="E56" s="2"/>
      <c r="F56" s="2"/>
      <c r="G56" s="2"/>
      <c r="H56" s="2" t="s">
        <v>48</v>
      </c>
      <c r="I56" s="2" t="s">
        <v>108</v>
      </c>
      <c r="J56" s="2"/>
    </row>
    <row r="57" spans="1:10" ht="15" customHeight="1" x14ac:dyDescent="0.55000000000000004">
      <c r="A57" s="7" t="s">
        <v>109</v>
      </c>
      <c r="B57" s="22">
        <f>INTERCEPTOR_SPEND+SYSTEM_SPEND</f>
        <v>7999.6</v>
      </c>
      <c r="C57" s="2"/>
      <c r="D57" s="2"/>
      <c r="E57" s="2"/>
      <c r="F57" s="2"/>
      <c r="G57" s="2"/>
      <c r="H57" s="2" t="s">
        <v>48</v>
      </c>
      <c r="I57" s="2" t="s">
        <v>110</v>
      </c>
      <c r="J57" s="2"/>
    </row>
    <row r="58" spans="1:10" ht="15" customHeight="1" x14ac:dyDescent="0.55000000000000004">
      <c r="A58" s="7" t="s">
        <v>111</v>
      </c>
      <c r="B58" s="22">
        <f>USE_MIN*BUDGET</f>
        <v>0</v>
      </c>
      <c r="C58" s="2"/>
      <c r="D58" s="2"/>
      <c r="E58" s="2"/>
      <c r="F58" s="2"/>
      <c r="G58" s="2"/>
      <c r="H58" s="2" t="s">
        <v>48</v>
      </c>
      <c r="I58" s="2" t="s">
        <v>112</v>
      </c>
      <c r="J58" s="2"/>
    </row>
    <row r="59" spans="1:10" ht="15" customHeight="1" x14ac:dyDescent="0.55000000000000004">
      <c r="A59" s="7" t="s">
        <v>113</v>
      </c>
      <c r="B59" s="22">
        <f>BUDGET-TOTAL_SPEND</f>
        <v>0.3999999999996362</v>
      </c>
      <c r="C59" s="2"/>
      <c r="D59" s="2"/>
      <c r="E59" s="2"/>
      <c r="F59" s="2"/>
      <c r="G59" s="2"/>
      <c r="H59" s="2" t="s">
        <v>48</v>
      </c>
      <c r="I59" s="2" t="s">
        <v>114</v>
      </c>
      <c r="J59" s="2"/>
    </row>
    <row r="60" spans="1:10" ht="15" customHeight="1" x14ac:dyDescent="0.55000000000000004">
      <c r="A60" s="7" t="s">
        <v>115</v>
      </c>
      <c r="B60" s="21">
        <f>SM2_Q+SM3_Q+SM6_Q</f>
        <v>96</v>
      </c>
      <c r="C60" s="2"/>
      <c r="D60" s="2"/>
      <c r="E60" s="2"/>
      <c r="F60" s="2"/>
      <c r="G60" s="2"/>
      <c r="H60" s="2" t="s">
        <v>116</v>
      </c>
      <c r="I60" s="2" t="s">
        <v>117</v>
      </c>
      <c r="J60" s="2"/>
    </row>
    <row r="61" spans="1:10" ht="15" customHeight="1" x14ac:dyDescent="0.55000000000000004">
      <c r="A61" s="7" t="s">
        <v>118</v>
      </c>
      <c r="B61" s="25">
        <f>MK41_CELLS*BUILD_AEGIS-AEGIS_CELLS_USED</f>
        <v>0</v>
      </c>
      <c r="C61" s="2"/>
      <c r="D61" s="2"/>
      <c r="E61" s="2"/>
      <c r="F61" s="2"/>
      <c r="G61" s="2"/>
      <c r="H61" s="2" t="s">
        <v>116</v>
      </c>
      <c r="I61" s="2" t="s">
        <v>119</v>
      </c>
      <c r="J61" s="2"/>
    </row>
    <row r="62" spans="1:10" ht="15" customHeight="1" x14ac:dyDescent="0.55000000000000004">
      <c r="A62" s="7" t="s">
        <v>120</v>
      </c>
      <c r="B62" s="23">
        <f>PAC3_Q/16+MSE_Q/12</f>
        <v>41.541666666666671</v>
      </c>
      <c r="C62" s="2"/>
      <c r="D62" s="2"/>
      <c r="E62" s="2"/>
      <c r="F62" s="2"/>
      <c r="G62" s="2"/>
      <c r="H62" s="2" t="s">
        <v>121</v>
      </c>
      <c r="I62" s="2" t="s">
        <v>122</v>
      </c>
      <c r="J62" s="2"/>
    </row>
    <row r="63" spans="1:10" ht="15" customHeight="1" x14ac:dyDescent="0.55000000000000004">
      <c r="A63" s="7" t="s">
        <v>123</v>
      </c>
      <c r="B63" s="23">
        <f>PATRIOT_LAUNCHERS*PATRIOT_BATTERIES-PATRIOT_LAUNCHERS_USED</f>
        <v>6.4583333333333286</v>
      </c>
      <c r="C63" s="2"/>
      <c r="D63" s="2"/>
      <c r="E63" s="2"/>
      <c r="F63" s="2"/>
      <c r="G63" s="2"/>
      <c r="H63" s="2" t="s">
        <v>121</v>
      </c>
      <c r="I63" s="2" t="s">
        <v>124</v>
      </c>
      <c r="J63" s="2"/>
    </row>
    <row r="64" spans="1:10" ht="15" customHeight="1" x14ac:dyDescent="0.55000000000000004">
      <c r="A64" s="7" t="s">
        <v>125</v>
      </c>
      <c r="B64" s="21">
        <f>THAAD_CAP*BUILD_THAAD-THAAD_Q</f>
        <v>48</v>
      </c>
      <c r="C64" s="2"/>
      <c r="D64" s="2"/>
      <c r="E64" s="2"/>
      <c r="F64" s="2"/>
      <c r="G64" s="2"/>
      <c r="H64" s="2" t="s">
        <v>68</v>
      </c>
      <c r="I64" s="2" t="s">
        <v>119</v>
      </c>
      <c r="J64" s="2"/>
    </row>
    <row r="65" spans="1:10" ht="15" customHeight="1" x14ac:dyDescent="0.55000000000000004">
      <c r="A65" s="7" t="s">
        <v>126</v>
      </c>
      <c r="B65" s="26">
        <f>SUMPRODUCT(W,D)/SUMPRODUCT(W,RAID_SIZE)</f>
        <v>0.97322318060097501</v>
      </c>
      <c r="C65" s="2"/>
      <c r="D65" s="2"/>
      <c r="E65" s="2"/>
      <c r="F65" s="2"/>
      <c r="G65" s="2"/>
      <c r="H65" s="2" t="s">
        <v>127</v>
      </c>
      <c r="I65" s="2" t="s">
        <v>128</v>
      </c>
      <c r="J65" s="2"/>
    </row>
    <row r="66" spans="1:10" ht="15" customHeight="1" x14ac:dyDescent="0.55000000000000004">
      <c r="A66" s="2"/>
      <c r="B66" s="2"/>
      <c r="C66" s="2"/>
      <c r="D66" s="2"/>
      <c r="E66" s="2"/>
      <c r="F66" s="2"/>
      <c r="G66" s="2"/>
      <c r="H66" s="2"/>
      <c r="I66" s="2"/>
      <c r="J66" s="2"/>
    </row>
    <row r="67" spans="1:10" ht="15" customHeight="1" x14ac:dyDescent="0.55000000000000004">
      <c r="A67" s="7" t="s">
        <v>129</v>
      </c>
      <c r="B67" s="21">
        <f t="shared" ref="B67:G67" si="2">B13*B160-B45</f>
        <v>1678</v>
      </c>
      <c r="C67" s="21">
        <f t="shared" si="2"/>
        <v>1743</v>
      </c>
      <c r="D67" s="21">
        <f t="shared" si="2"/>
        <v>2000</v>
      </c>
      <c r="E67" s="21">
        <f t="shared" si="2"/>
        <v>2000</v>
      </c>
      <c r="F67" s="21">
        <f t="shared" si="2"/>
        <v>2000</v>
      </c>
      <c r="G67" s="21">
        <f t="shared" si="2"/>
        <v>1904</v>
      </c>
      <c r="H67" s="2" t="s">
        <v>68</v>
      </c>
      <c r="I67" s="2" t="s">
        <v>130</v>
      </c>
      <c r="J67" s="2"/>
    </row>
    <row r="68" spans="1:10" ht="15" customHeight="1" x14ac:dyDescent="0.55000000000000004">
      <c r="A68" s="2"/>
      <c r="B68" s="2"/>
      <c r="C68" s="2"/>
      <c r="D68" s="2"/>
      <c r="E68" s="2"/>
      <c r="F68" s="2"/>
      <c r="G68" s="2"/>
      <c r="H68" s="2"/>
      <c r="I68" s="2"/>
      <c r="J68" s="2"/>
    </row>
    <row r="69" spans="1:10" ht="15" customHeight="1" x14ac:dyDescent="0.55000000000000004">
      <c r="A69" s="4" t="s">
        <v>131</v>
      </c>
      <c r="B69" s="5"/>
      <c r="C69" s="5"/>
      <c r="D69" s="5"/>
      <c r="E69" s="5"/>
      <c r="F69" s="5"/>
      <c r="G69" s="5"/>
      <c r="H69" s="5"/>
      <c r="I69" s="5"/>
      <c r="J69" s="5"/>
    </row>
    <row r="70" spans="1:10" ht="15" customHeight="1" x14ac:dyDescent="0.55000000000000004">
      <c r="A70" s="6" t="s">
        <v>132</v>
      </c>
      <c r="B70" s="6" t="s">
        <v>5</v>
      </c>
      <c r="C70" s="6" t="s">
        <v>6</v>
      </c>
      <c r="D70" s="6" t="s">
        <v>7</v>
      </c>
      <c r="E70" s="6" t="s">
        <v>8</v>
      </c>
      <c r="F70" s="6" t="s">
        <v>9</v>
      </c>
      <c r="G70" s="6" t="s">
        <v>10</v>
      </c>
      <c r="H70" s="6" t="s">
        <v>11</v>
      </c>
      <c r="I70" s="6" t="s">
        <v>133</v>
      </c>
      <c r="J70" s="2"/>
    </row>
    <row r="71" spans="1:10" ht="15" customHeight="1" x14ac:dyDescent="0.55000000000000004">
      <c r="A71" s="7" t="s">
        <v>134</v>
      </c>
      <c r="B71" s="27">
        <f>IF(B9=0,0,B$17*IF(B$121=0,0,B$121*(1-EXP(-(B$123+B147)/B$121))-B$125)/B$7)</f>
        <v>1.2414366916300577E-2</v>
      </c>
      <c r="C71" s="27">
        <f>IF(C9=0,0,B$17*IF(B$121=0,0,B$121*(1-EXP(-(B$123+C147)/B$121))-B$125)/C$7)</f>
        <v>1.093646609293146E-2</v>
      </c>
      <c r="D71" s="27">
        <f>IF(D9=0,0,B$17*MAX(IF(B$121=0,0,B$121*(1-EXP(-(B$123+D147)/B$121))-B$125),IF(B$122=0,0,B$122*(1-EXP(-(B$124+D147)/B$122))-B$126))/D$7)</f>
        <v>3.6167840622293021E-3</v>
      </c>
      <c r="E71" s="27">
        <f>IF(E9=0,0,B$17*MAX(IF(B$121=0,0,B$121*(1-EXP(-(B$123+E147)/B$121))-B$125),IF(B$122=0,0,B$122*(1-EXP(-(B$124+E147)/B$122))-B$126))/E$7)</f>
        <v>1.6463497344197898E-3</v>
      </c>
      <c r="F71" s="27">
        <f>IF(F9=0,0,B$17*MAX(IF(B$121=0,0,B$121*(1-EXP(-(B$123+F147)/B$121))-B$125),IF(B$122=0,0,B$122*(1-EXP(-(B$124+F147)/B$122))-B$126))/F$7)</f>
        <v>0</v>
      </c>
      <c r="G71" s="27">
        <f>IF(G9=0,0,B$17*MAX(IF(B$121=0,0,B$121*(1-EXP(-(B$123+G147)/B$121))-B$125),IF(B$122=0,0,B$122*(1-EXP(-(B$124+G147)/B$122))-B$126))/G$7)</f>
        <v>7.0126958153148298E-3</v>
      </c>
      <c r="H71" s="2" t="s">
        <v>135</v>
      </c>
      <c r="I71" s="2" t="s">
        <v>136</v>
      </c>
      <c r="J71" s="2"/>
    </row>
    <row r="72" spans="1:10" ht="15" customHeight="1" x14ac:dyDescent="0.55000000000000004">
      <c r="A72" s="7" t="s">
        <v>137</v>
      </c>
      <c r="B72" s="27">
        <f>IF(B10=0,0,C$17*IF(C$121=0,0,C$121*(1-EXP(-(C$123+B148)/C$121))-C$125)/B$7)</f>
        <v>6.1536945126876332E-3</v>
      </c>
      <c r="C72" s="27">
        <f>IF(C10=0,0,C$17*IF(C$121=0,0,C$121*(1-EXP(-(C$123+C148)/C$121))-C$125)/C$7)</f>
        <v>5.4211118326057718E-3</v>
      </c>
      <c r="D72" s="27">
        <f>IF(D10=0,0,C$17*MAX(IF(C$121=0,0,C$121*(1-EXP(-(C$123+D148)/C$121))-C$125),IF(C$122=0,0,C$122*(1-EXP(-(C$124+D148)/C$122))-C$126))/D$7)</f>
        <v>0</v>
      </c>
      <c r="E72" s="27">
        <f>IF(E10=0,0,C$17*MAX(IF(C$121=0,0,C$121*(1-EXP(-(C$123+E148)/C$121))-C$125),IF(C$122=0,0,C$122*(1-EXP(-(C$124+E148)/C$122))-C$126))/E$7)</f>
        <v>0</v>
      </c>
      <c r="F72" s="27">
        <f>IF(F10=0,0,C$17*MAX(IF(C$121=0,0,C$121*(1-EXP(-(C$123+F148)/C$121))-C$125),IF(C$122=0,0,C$122*(1-EXP(-(C$124+F148)/C$122))-C$126))/F$7)</f>
        <v>1.1106668144850852E-2</v>
      </c>
      <c r="G72" s="27">
        <f>IF(G10=0,0,C$17*MAX(IF(C$121=0,0,C$121*(1-EXP(-(C$123+G148)/C$121))-C$125),IF(C$122=0,0,C$122*(1-EXP(-(C$124+G148)/C$122))-C$126))/G$7)</f>
        <v>3.4761327781594265E-3</v>
      </c>
      <c r="H72" s="2" t="s">
        <v>135</v>
      </c>
      <c r="I72" s="2" t="s">
        <v>136</v>
      </c>
      <c r="J72" s="2"/>
    </row>
    <row r="73" spans="1:10" ht="15" customHeight="1" x14ac:dyDescent="0.55000000000000004">
      <c r="A73" s="7" t="s">
        <v>138</v>
      </c>
      <c r="B73" s="27">
        <f>IF(B11=0,0,D$17*IF(D$121=0,0,D$121*(1-EXP(-(D$123+B149)/D$121))-D$125)/B$7)</f>
        <v>4.5940973902900539E-3</v>
      </c>
      <c r="C73" s="27">
        <f>IF(C11=0,0,D$17*IF(D$121=0,0,D$121*(1-EXP(-(D$123+C149)/D$121))-D$125)/C$7)</f>
        <v>4.0471810343031423E-3</v>
      </c>
      <c r="D73" s="27">
        <f>IF(D11=0,0,D$17*MAX(IF(D$121=0,0,D$121*(1-EXP(-(D$123+D149)/D$121))-D$125),IF(D$122=0,0,D$122*(1-EXP(-(D$124+D149)/D$122))-D$126))/D$7)</f>
        <v>0</v>
      </c>
      <c r="E73" s="27">
        <f>IF(E11=0,0,D$17*MAX(IF(D$121=0,0,D$121*(1-EXP(-(D$123+E149)/D$121))-D$125),IF(D$122=0,0,D$122*(1-EXP(-(D$124+E149)/D$122))-D$126))/E$7)</f>
        <v>0</v>
      </c>
      <c r="F73" s="27">
        <f>IF(F11=0,0,D$17*MAX(IF(D$121=0,0,D$121*(1-EXP(-(D$123+F149)/D$121))-D$125),IF(D$122=0,0,D$122*(1-EXP(-(D$124+F149)/D$122))-D$126))/F$7)</f>
        <v>8.2917855336942445E-3</v>
      </c>
      <c r="G73" s="27">
        <f>IF(G11=0,0,D$17*MAX(IF(D$121=0,0,D$121*(1-EXP(-(D$123+G149)/D$121))-D$125),IF(D$122=0,0,D$122*(1-EXP(-(D$124+G149)/D$122))-D$126))/G$7)</f>
        <v>2.5951389838279695E-3</v>
      </c>
      <c r="H73" s="2" t="s">
        <v>135</v>
      </c>
      <c r="I73" s="2" t="s">
        <v>136</v>
      </c>
      <c r="J73" s="2"/>
    </row>
    <row r="74" spans="1:10" ht="15" customHeight="1" x14ac:dyDescent="0.55000000000000004">
      <c r="A74" s="7" t="s">
        <v>139</v>
      </c>
      <c r="B74" s="27">
        <f>IF(B12=0,0,E$17*IF(E$121=0,0,E$121*(1-EXP(-(E$123+B150)/E$121))-E$125)/B$7)</f>
        <v>0</v>
      </c>
      <c r="C74" s="27">
        <f>IF(C12=0,0,E$17*IF(E$121=0,0,E$121*(1-EXP(-(E$123+C150)/E$121))-E$125)/C$7)</f>
        <v>0</v>
      </c>
      <c r="D74" s="27">
        <f>IF(D12=0,0,E$17*MAX(IF(E$121=0,0,E$121*(1-EXP(-(E$123+D150)/E$121))-E$125),IF(E$122=0,0,E$122*(1-EXP(-(E$124+D150)/E$122))-E$126))/D$7)</f>
        <v>0</v>
      </c>
      <c r="E74" s="27">
        <f>IF(E12=0,0,E$17*MAX(IF(E$121=0,0,E$121*(1-EXP(-(E$123+E150)/E$121))-E$125),IF(E$122=0,0,E$122*(1-EXP(-(E$124+E150)/E$122))-E$126))/E$7)</f>
        <v>0</v>
      </c>
      <c r="F74" s="27">
        <f>IF(F12=0,0,E$17*MAX(IF(E$121=0,0,E$121*(1-EXP(-(E$123+F150)/E$121))-E$125),IF(E$122=0,0,E$122*(1-EXP(-(E$124+F150)/E$122))-E$126))/F$7)</f>
        <v>0</v>
      </c>
      <c r="G74" s="27">
        <f>IF(G12=0,0,E$17*MAX(IF(E$121=0,0,E$121*(1-EXP(-(E$123+G150)/E$121))-E$125),IF(E$122=0,0,E$122*(1-EXP(-(E$124+G150)/E$122))-E$126))/G$7)</f>
        <v>2.7771526183699477E-2</v>
      </c>
      <c r="H74" s="2" t="s">
        <v>135</v>
      </c>
      <c r="I74" s="2" t="s">
        <v>136</v>
      </c>
      <c r="J74" s="2"/>
    </row>
    <row r="75" spans="1:10" ht="15" customHeight="1" x14ac:dyDescent="0.55000000000000004">
      <c r="A75" s="2"/>
      <c r="B75" s="2"/>
      <c r="C75" s="2"/>
      <c r="D75" s="2"/>
      <c r="E75" s="2"/>
      <c r="F75" s="2"/>
      <c r="G75" s="2"/>
      <c r="H75" s="2"/>
      <c r="I75" s="2"/>
      <c r="J75" s="2"/>
    </row>
    <row r="76" spans="1:10" ht="15" customHeight="1" x14ac:dyDescent="0.55000000000000004">
      <c r="A76" s="3" t="s">
        <v>140</v>
      </c>
      <c r="B76" s="2"/>
      <c r="C76" s="2"/>
      <c r="D76" s="2"/>
      <c r="E76" s="2"/>
      <c r="F76" s="2"/>
      <c r="G76" s="2"/>
      <c r="H76" s="2"/>
      <c r="I76" s="2"/>
      <c r="J76" s="2"/>
    </row>
    <row r="77" spans="1:10" ht="15" customHeight="1" x14ac:dyDescent="0.55000000000000004">
      <c r="A77" s="2"/>
      <c r="B77" s="2"/>
      <c r="C77" s="2"/>
      <c r="D77" s="2"/>
      <c r="E77" s="2"/>
      <c r="F77" s="2"/>
      <c r="G77" s="2"/>
      <c r="H77" s="2"/>
      <c r="I77" s="2"/>
      <c r="J77" s="2"/>
    </row>
    <row r="78" spans="1:10" ht="15" customHeight="1" x14ac:dyDescent="0.55000000000000004">
      <c r="A78" s="4" t="s">
        <v>141</v>
      </c>
      <c r="B78" s="5"/>
      <c r="C78" s="5"/>
      <c r="D78" s="5"/>
      <c r="E78" s="5"/>
      <c r="F78" s="5"/>
      <c r="G78" s="5"/>
      <c r="H78" s="5"/>
      <c r="I78" s="5"/>
      <c r="J78" s="5"/>
    </row>
    <row r="79" spans="1:10" ht="15" customHeight="1" x14ac:dyDescent="0.55000000000000004">
      <c r="A79" s="6" t="s">
        <v>142</v>
      </c>
      <c r="B79" s="6" t="s">
        <v>143</v>
      </c>
      <c r="C79" s="2"/>
      <c r="D79" s="2"/>
      <c r="E79" s="2"/>
      <c r="F79" s="2"/>
      <c r="G79" s="2"/>
      <c r="H79" s="2"/>
      <c r="I79" s="6" t="s">
        <v>144</v>
      </c>
      <c r="J79" s="2"/>
    </row>
    <row r="80" spans="1:10" ht="15" customHeight="1" x14ac:dyDescent="0.55000000000000004">
      <c r="A80" s="2" t="s">
        <v>145</v>
      </c>
      <c r="B80" s="2" t="b">
        <f>TOTAL_SPEND&lt;=BUDGET+0.001</f>
        <v>1</v>
      </c>
      <c r="C80" s="2"/>
      <c r="D80" s="2"/>
      <c r="E80" s="2"/>
      <c r="F80" s="2"/>
      <c r="G80" s="2"/>
      <c r="H80" s="2"/>
      <c r="I80" s="2" t="s">
        <v>146</v>
      </c>
      <c r="J80" s="2"/>
    </row>
    <row r="81" spans="1:10" ht="15" customHeight="1" x14ac:dyDescent="0.55000000000000004">
      <c r="A81" s="2" t="s">
        <v>147</v>
      </c>
      <c r="B81" s="2" t="b">
        <f>TOTAL_SPEND&gt;=SPEND_FLOOR-0.001</f>
        <v>1</v>
      </c>
      <c r="C81" s="2"/>
      <c r="D81" s="2"/>
      <c r="E81" s="2"/>
      <c r="F81" s="2"/>
      <c r="G81" s="2"/>
      <c r="H81" s="2"/>
      <c r="I81" s="2" t="s">
        <v>148</v>
      </c>
      <c r="J81" s="2"/>
    </row>
    <row r="82" spans="1:10" ht="15" customHeight="1" x14ac:dyDescent="0.55000000000000004">
      <c r="A82" s="2" t="s">
        <v>149</v>
      </c>
      <c r="B82" s="2" t="b">
        <f>AEGIS_CELL_SLACK&gt;=-0.001</f>
        <v>1</v>
      </c>
      <c r="C82" s="2"/>
      <c r="D82" s="2"/>
      <c r="E82" s="2"/>
      <c r="F82" s="2"/>
      <c r="G82" s="2"/>
      <c r="H82" s="2"/>
      <c r="I82" s="2" t="s">
        <v>150</v>
      </c>
      <c r="J82" s="2"/>
    </row>
    <row r="83" spans="1:10" ht="15" customHeight="1" x14ac:dyDescent="0.55000000000000004">
      <c r="A83" s="2" t="s">
        <v>151</v>
      </c>
      <c r="B83" s="2" t="b">
        <f>PATRIOT_SLACK&gt;=-0.001</f>
        <v>1</v>
      </c>
      <c r="C83" s="2"/>
      <c r="D83" s="2"/>
      <c r="E83" s="2"/>
      <c r="F83" s="2"/>
      <c r="G83" s="2"/>
      <c r="H83" s="2"/>
      <c r="I83" s="2" t="s">
        <v>152</v>
      </c>
      <c r="J83" s="2"/>
    </row>
    <row r="84" spans="1:10" ht="15" customHeight="1" x14ac:dyDescent="0.55000000000000004">
      <c r="A84" s="2" t="s">
        <v>153</v>
      </c>
      <c r="B84" s="2" t="b">
        <f>THAAD_SLACK&gt;=-0.001</f>
        <v>1</v>
      </c>
      <c r="C84" s="2"/>
      <c r="D84" s="2"/>
      <c r="E84" s="2"/>
      <c r="F84" s="2"/>
      <c r="G84" s="2"/>
      <c r="H84" s="2"/>
      <c r="I84" s="2" t="s">
        <v>154</v>
      </c>
      <c r="J84" s="2"/>
    </row>
    <row r="85" spans="1:10" ht="15" customHeight="1" x14ac:dyDescent="0.55000000000000004">
      <c r="A85" s="2" t="s">
        <v>155</v>
      </c>
      <c r="B85" s="2" t="b">
        <f>MIN(CAP_SLACK)&gt;=0</f>
        <v>1</v>
      </c>
      <c r="C85" s="2"/>
      <c r="D85" s="2"/>
      <c r="E85" s="2"/>
      <c r="F85" s="2"/>
      <c r="G85" s="2"/>
      <c r="H85" s="2"/>
      <c r="I85" s="2" t="s">
        <v>156</v>
      </c>
      <c r="J85" s="2"/>
    </row>
    <row r="86" spans="1:10" ht="15" customHeight="1" x14ac:dyDescent="0.55000000000000004">
      <c r="A86" s="2" t="s">
        <v>157</v>
      </c>
      <c r="B86" s="2" t="b">
        <f>SUMPRODUCT(--(D&lt;MIN_REQUIRED-0.001))=0</f>
        <v>1</v>
      </c>
      <c r="C86" s="2"/>
      <c r="D86" s="2"/>
      <c r="E86" s="2"/>
      <c r="F86" s="2"/>
      <c r="G86" s="2"/>
      <c r="H86" s="2"/>
      <c r="I86" s="2" t="s">
        <v>158</v>
      </c>
      <c r="J86" s="2"/>
    </row>
    <row r="87" spans="1:10" ht="15" customHeight="1" x14ac:dyDescent="0.55000000000000004">
      <c r="A87" s="2" t="s">
        <v>159</v>
      </c>
      <c r="B87" s="2" t="b">
        <f>SUMPRODUCT(--(B9:G12=0),B35:G38)+SUMPRODUCT(--(B9:G12=0),B108:G111)=0</f>
        <v>1</v>
      </c>
      <c r="C87" s="2"/>
      <c r="D87" s="2"/>
      <c r="E87" s="2"/>
      <c r="F87" s="2"/>
      <c r="G87" s="2"/>
      <c r="H87" s="2"/>
      <c r="I87" s="2" t="s">
        <v>160</v>
      </c>
      <c r="J87" s="2"/>
    </row>
    <row r="88" spans="1:10" ht="15" customHeight="1" x14ac:dyDescent="0.55000000000000004">
      <c r="A88" s="2" t="s">
        <v>161</v>
      </c>
      <c r="B88" s="2" t="b">
        <f>SUMPRODUCT(--(B35:G38&lt;&gt;ROUND(B35:G38,0)))+SUMPRODUCT(--(B108:G111&lt;&gt;ROUND(B108:G111,0)))=0</f>
        <v>1</v>
      </c>
      <c r="C88" s="2"/>
      <c r="D88" s="2"/>
      <c r="E88" s="2"/>
      <c r="F88" s="2"/>
      <c r="G88" s="2"/>
      <c r="H88" s="2"/>
      <c r="I88" s="2" t="s">
        <v>162</v>
      </c>
      <c r="J88" s="2"/>
    </row>
    <row r="89" spans="1:10" ht="15" customHeight="1" x14ac:dyDescent="0.55000000000000004">
      <c r="A89" s="7" t="s">
        <v>163</v>
      </c>
      <c r="B89" s="7" t="b">
        <f>AND(B80:B88,B130:B134,B171:B174)</f>
        <v>1</v>
      </c>
      <c r="C89" s="2"/>
      <c r="D89" s="2"/>
      <c r="E89" s="2"/>
      <c r="F89" s="2"/>
      <c r="G89" s="2"/>
      <c r="H89" s="2"/>
      <c r="I89" s="2"/>
      <c r="J89" s="2"/>
    </row>
    <row r="90" spans="1:10" ht="15" customHeight="1" x14ac:dyDescent="0.55000000000000004">
      <c r="A90" s="2"/>
      <c r="B90" s="2"/>
      <c r="C90" s="2"/>
      <c r="D90" s="2"/>
      <c r="E90" s="2"/>
      <c r="F90" s="2"/>
      <c r="G90" s="2"/>
      <c r="H90" s="2"/>
      <c r="I90" s="2"/>
      <c r="J90" s="2"/>
    </row>
    <row r="91" spans="1:10" ht="15" customHeight="1" x14ac:dyDescent="0.55000000000000004">
      <c r="A91" s="4" t="s">
        <v>164</v>
      </c>
      <c r="B91" s="5"/>
      <c r="C91" s="5"/>
      <c r="D91" s="5"/>
      <c r="E91" s="5"/>
      <c r="F91" s="5"/>
      <c r="G91" s="5"/>
      <c r="H91" s="5"/>
      <c r="I91" s="5"/>
      <c r="J91" s="5"/>
    </row>
    <row r="92" spans="1:10" ht="15" customHeight="1" x14ac:dyDescent="0.55000000000000004">
      <c r="A92" s="6" t="s">
        <v>165</v>
      </c>
      <c r="B92" s="6" t="s">
        <v>166</v>
      </c>
      <c r="C92" s="6" t="s">
        <v>167</v>
      </c>
      <c r="D92" s="6" t="s">
        <v>168</v>
      </c>
      <c r="E92" s="2"/>
      <c r="F92" s="2"/>
      <c r="G92" s="2"/>
      <c r="H92" s="2"/>
      <c r="I92" s="2"/>
      <c r="J92" s="2"/>
    </row>
    <row r="93" spans="1:10" ht="15" customHeight="1" x14ac:dyDescent="0.55000000000000004">
      <c r="A93" s="2" t="s">
        <v>169</v>
      </c>
      <c r="B93" s="27">
        <f>20*(1-EXP(-7/20))</f>
        <v>5.9062382056257317</v>
      </c>
      <c r="C93" s="10">
        <v>5.9059999999999997</v>
      </c>
      <c r="D93" s="2" t="b">
        <f>ROUND(B93,3)=C93</f>
        <v>1</v>
      </c>
      <c r="E93" s="2"/>
      <c r="F93" s="2"/>
      <c r="G93" s="2"/>
      <c r="H93" s="2"/>
      <c r="I93" s="2"/>
      <c r="J93" s="2"/>
    </row>
    <row r="94" spans="1:10" ht="15" customHeight="1" x14ac:dyDescent="0.55000000000000004">
      <c r="A94" s="2" t="s">
        <v>170</v>
      </c>
      <c r="B94" s="27">
        <f>20*(1-EXP(-7.7/20))</f>
        <v>6.3909872759082464</v>
      </c>
      <c r="C94" s="10">
        <v>6.391</v>
      </c>
      <c r="D94" s="2" t="b">
        <f>ROUND(B94,3)=C94</f>
        <v>1</v>
      </c>
      <c r="E94" s="2"/>
      <c r="F94" s="2"/>
      <c r="G94" s="2"/>
      <c r="H94" s="2"/>
      <c r="I94" s="2"/>
      <c r="J94" s="2"/>
    </row>
    <row r="95" spans="1:10" ht="15" customHeight="1" x14ac:dyDescent="0.55000000000000004">
      <c r="A95" s="2" t="s">
        <v>171</v>
      </c>
      <c r="B95" s="27">
        <f>96/16</f>
        <v>6</v>
      </c>
      <c r="C95" s="10">
        <v>6</v>
      </c>
      <c r="D95" s="2" t="b">
        <f>B95=C95</f>
        <v>1</v>
      </c>
      <c r="E95" s="2"/>
      <c r="F95" s="2"/>
      <c r="G95" s="2"/>
      <c r="H95" s="2"/>
      <c r="I95" s="2"/>
      <c r="J95" s="2"/>
    </row>
    <row r="96" spans="1:10" ht="15" customHeight="1" x14ac:dyDescent="0.55000000000000004">
      <c r="A96" s="2" t="s">
        <v>172</v>
      </c>
      <c r="B96" s="27">
        <f>72/12</f>
        <v>6</v>
      </c>
      <c r="C96" s="10">
        <v>6</v>
      </c>
      <c r="D96" s="2" t="b">
        <f>B96=C96</f>
        <v>1</v>
      </c>
      <c r="E96" s="2"/>
      <c r="F96" s="2"/>
      <c r="G96" s="2"/>
      <c r="H96" s="2"/>
      <c r="I96" s="2"/>
      <c r="J96" s="2"/>
    </row>
    <row r="98" spans="1:9" x14ac:dyDescent="0.55000000000000004">
      <c r="A98" s="4" t="s">
        <v>173</v>
      </c>
      <c r="B98" s="5"/>
      <c r="C98" s="5"/>
      <c r="D98" s="5"/>
      <c r="E98" s="5"/>
      <c r="F98" s="5"/>
      <c r="G98" s="5"/>
      <c r="H98" s="5"/>
      <c r="I98" s="5"/>
    </row>
    <row r="99" spans="1:9" x14ac:dyDescent="0.55000000000000004">
      <c r="A99" s="6" t="s">
        <v>4</v>
      </c>
      <c r="B99" s="6" t="s">
        <v>46</v>
      </c>
      <c r="C99" s="6"/>
      <c r="D99" s="6"/>
      <c r="E99" s="6"/>
      <c r="F99" s="6"/>
      <c r="G99" s="6"/>
      <c r="H99" s="6" t="s">
        <v>11</v>
      </c>
      <c r="I99" s="6" t="s">
        <v>12</v>
      </c>
    </row>
    <row r="100" spans="1:9" x14ac:dyDescent="0.55000000000000004">
      <c r="A100" s="7" t="s">
        <v>174</v>
      </c>
      <c r="B100" s="30">
        <v>16</v>
      </c>
      <c r="C100" s="2"/>
      <c r="D100" s="2"/>
      <c r="E100" s="2"/>
      <c r="F100" s="2"/>
      <c r="G100" s="2"/>
      <c r="H100" s="2" t="s">
        <v>175</v>
      </c>
      <c r="I100" s="2" t="s">
        <v>176</v>
      </c>
    </row>
    <row r="101" spans="1:9" x14ac:dyDescent="0.55000000000000004">
      <c r="A101" s="7" t="s">
        <v>177</v>
      </c>
      <c r="B101" s="30">
        <v>2</v>
      </c>
      <c r="C101" s="2"/>
      <c r="D101" s="2"/>
      <c r="E101" s="2"/>
      <c r="F101" s="2"/>
      <c r="G101" s="2"/>
      <c r="H101" s="2" t="s">
        <v>178</v>
      </c>
      <c r="I101" s="2" t="s">
        <v>179</v>
      </c>
    </row>
    <row r="102" spans="1:9" x14ac:dyDescent="0.55000000000000004">
      <c r="A102" s="7" t="s">
        <v>180</v>
      </c>
      <c r="B102" s="30">
        <v>8</v>
      </c>
      <c r="C102" s="2"/>
      <c r="D102" s="2"/>
      <c r="E102" s="2"/>
      <c r="F102" s="2"/>
      <c r="G102" s="2"/>
      <c r="H102" s="2" t="s">
        <v>181</v>
      </c>
      <c r="I102" s="2" t="s">
        <v>182</v>
      </c>
    </row>
    <row r="103" spans="1:9" x14ac:dyDescent="0.55000000000000004">
      <c r="A103" s="7" t="s">
        <v>183</v>
      </c>
      <c r="B103" s="30">
        <v>16</v>
      </c>
      <c r="C103" s="2"/>
      <c r="D103" s="2"/>
      <c r="E103" s="2"/>
      <c r="F103" s="2"/>
      <c r="G103" s="2"/>
      <c r="H103" s="2" t="s">
        <v>175</v>
      </c>
      <c r="I103" s="2" t="s">
        <v>184</v>
      </c>
    </row>
    <row r="104" spans="1:9" x14ac:dyDescent="0.55000000000000004">
      <c r="A104" s="7" t="s">
        <v>185</v>
      </c>
      <c r="B104" s="30">
        <v>16</v>
      </c>
      <c r="C104" s="2"/>
      <c r="D104" s="2"/>
      <c r="E104" s="2"/>
      <c r="F104" s="2"/>
      <c r="G104" s="2"/>
      <c r="H104" s="2" t="s">
        <v>175</v>
      </c>
      <c r="I104" s="2" t="s">
        <v>186</v>
      </c>
    </row>
    <row r="106" spans="1:9" x14ac:dyDescent="0.55000000000000004">
      <c r="A106" s="4" t="s">
        <v>187</v>
      </c>
      <c r="B106" s="5"/>
      <c r="C106" s="5"/>
      <c r="D106" s="5"/>
      <c r="E106" s="5"/>
      <c r="F106" s="5"/>
      <c r="G106" s="5"/>
      <c r="H106" s="5"/>
      <c r="I106" s="5"/>
    </row>
    <row r="107" spans="1:9" x14ac:dyDescent="0.55000000000000004">
      <c r="A107" s="6" t="s">
        <v>188</v>
      </c>
      <c r="B107" s="6" t="s">
        <v>5</v>
      </c>
      <c r="C107" s="6" t="s">
        <v>6</v>
      </c>
      <c r="D107" s="6" t="s">
        <v>7</v>
      </c>
      <c r="E107" s="6" t="s">
        <v>8</v>
      </c>
      <c r="F107" s="6" t="s">
        <v>9</v>
      </c>
      <c r="G107" s="6" t="s">
        <v>10</v>
      </c>
      <c r="H107" s="6" t="s">
        <v>11</v>
      </c>
      <c r="I107" s="6" t="s">
        <v>76</v>
      </c>
    </row>
    <row r="108" spans="1:9" x14ac:dyDescent="0.55000000000000004">
      <c r="A108" s="7" t="s">
        <v>189</v>
      </c>
      <c r="B108" s="19">
        <v>32</v>
      </c>
      <c r="C108" s="19">
        <v>257</v>
      </c>
      <c r="D108" s="19">
        <v>0</v>
      </c>
      <c r="E108" s="19">
        <v>0</v>
      </c>
      <c r="F108" s="19">
        <v>0</v>
      </c>
      <c r="G108" s="19">
        <v>0</v>
      </c>
      <c r="H108" s="2" t="s">
        <v>68</v>
      </c>
      <c r="I108" s="2" t="s">
        <v>190</v>
      </c>
    </row>
    <row r="109" spans="1:9" x14ac:dyDescent="0.55000000000000004">
      <c r="A109" s="7" t="s">
        <v>191</v>
      </c>
      <c r="B109" s="19">
        <v>217</v>
      </c>
      <c r="C109" s="19">
        <v>0</v>
      </c>
      <c r="D109" s="19">
        <v>0</v>
      </c>
      <c r="E109" s="19">
        <v>0</v>
      </c>
      <c r="F109" s="19">
        <v>0</v>
      </c>
      <c r="G109" s="19">
        <v>0</v>
      </c>
      <c r="H109" s="2" t="s">
        <v>68</v>
      </c>
      <c r="I109" s="2" t="s">
        <v>190</v>
      </c>
    </row>
    <row r="110" spans="1:9" x14ac:dyDescent="0.55000000000000004">
      <c r="A110" s="7" t="s">
        <v>192</v>
      </c>
      <c r="B110" s="19">
        <v>73</v>
      </c>
      <c r="C110" s="19">
        <v>0</v>
      </c>
      <c r="D110" s="19">
        <v>0</v>
      </c>
      <c r="E110" s="19">
        <v>0</v>
      </c>
      <c r="F110" s="19">
        <v>0</v>
      </c>
      <c r="G110" s="19">
        <v>0</v>
      </c>
      <c r="H110" s="2" t="s">
        <v>68</v>
      </c>
      <c r="I110" s="2" t="s">
        <v>190</v>
      </c>
    </row>
    <row r="111" spans="1:9" x14ac:dyDescent="0.55000000000000004">
      <c r="A111" s="7" t="s">
        <v>193</v>
      </c>
      <c r="B111" s="19">
        <v>0</v>
      </c>
      <c r="C111" s="19">
        <v>0</v>
      </c>
      <c r="D111" s="19">
        <v>0</v>
      </c>
      <c r="E111" s="19">
        <v>0</v>
      </c>
      <c r="F111" s="19">
        <v>0</v>
      </c>
      <c r="G111" s="19">
        <v>96</v>
      </c>
      <c r="H111" s="2" t="s">
        <v>68</v>
      </c>
      <c r="I111" s="2" t="s">
        <v>190</v>
      </c>
    </row>
    <row r="113" spans="1:9" x14ac:dyDescent="0.55000000000000004">
      <c r="A113" s="4" t="s">
        <v>194</v>
      </c>
      <c r="B113" s="5"/>
      <c r="C113" s="5"/>
      <c r="D113" s="5"/>
      <c r="E113" s="5"/>
      <c r="F113" s="5"/>
      <c r="G113" s="5"/>
      <c r="H113" s="5"/>
      <c r="I113" s="5"/>
    </row>
    <row r="114" spans="1:9" x14ac:dyDescent="0.55000000000000004">
      <c r="A114" s="6" t="s">
        <v>4</v>
      </c>
      <c r="B114" s="6" t="s">
        <v>46</v>
      </c>
      <c r="C114" s="6"/>
      <c r="D114" s="6"/>
      <c r="E114" s="6"/>
      <c r="F114" s="6"/>
      <c r="G114" s="6"/>
      <c r="H114" s="6" t="s">
        <v>11</v>
      </c>
      <c r="I114" s="6" t="s">
        <v>88</v>
      </c>
    </row>
    <row r="115" spans="1:9" x14ac:dyDescent="0.55000000000000004">
      <c r="A115" s="7" t="s">
        <v>195</v>
      </c>
      <c r="B115" s="31">
        <f>MIN(SITES,SITES_PER_PATRIOT*PATRIOT_BATTERIES)</f>
        <v>16</v>
      </c>
      <c r="C115" s="2"/>
      <c r="D115" s="2"/>
      <c r="E115" s="2"/>
      <c r="F115" s="2"/>
      <c r="G115" s="2"/>
      <c r="H115" s="2" t="s">
        <v>175</v>
      </c>
      <c r="I115" s="2" t="s">
        <v>196</v>
      </c>
    </row>
    <row r="116" spans="1:9" x14ac:dyDescent="0.55000000000000004">
      <c r="A116" s="7" t="s">
        <v>197</v>
      </c>
      <c r="B116" s="32">
        <f>PATRIOT_SITES_COVERED/SITES</f>
        <v>1</v>
      </c>
      <c r="C116" s="2"/>
      <c r="D116" s="2"/>
      <c r="E116" s="2"/>
      <c r="F116" s="2"/>
      <c r="G116" s="2"/>
      <c r="H116" s="2" t="s">
        <v>198</v>
      </c>
      <c r="I116" s="2" t="s">
        <v>199</v>
      </c>
    </row>
    <row r="117" spans="1:9" x14ac:dyDescent="0.55000000000000004">
      <c r="A117" s="7" t="s">
        <v>200</v>
      </c>
      <c r="B117" s="31">
        <f>SITES-PATRIOT_SITES_COVERED</f>
        <v>0</v>
      </c>
      <c r="C117" s="2"/>
      <c r="D117" s="2"/>
      <c r="E117" s="2"/>
      <c r="F117" s="2"/>
      <c r="G117" s="2"/>
      <c r="H117" s="2" t="s">
        <v>175</v>
      </c>
      <c r="I117" s="2" t="s">
        <v>201</v>
      </c>
    </row>
    <row r="118" spans="1:9" x14ac:dyDescent="0.55000000000000004">
      <c r="A118" s="7" t="s">
        <v>202</v>
      </c>
      <c r="B118" s="21">
        <f>100000*PATRIOT_SITES_COVERED-SUM(QC)</f>
        <v>1599325</v>
      </c>
      <c r="C118" s="2"/>
      <c r="D118" s="2"/>
      <c r="E118" s="2"/>
      <c r="F118" s="2"/>
      <c r="G118" s="2"/>
      <c r="H118" s="2" t="s">
        <v>68</v>
      </c>
      <c r="I118" s="2" t="s">
        <v>203</v>
      </c>
    </row>
    <row r="120" spans="1:9" x14ac:dyDescent="0.55000000000000004">
      <c r="A120" s="6" t="s">
        <v>4</v>
      </c>
      <c r="B120" s="6" t="s">
        <v>32</v>
      </c>
      <c r="C120" s="6" t="s">
        <v>33</v>
      </c>
      <c r="D120" s="6" t="s">
        <v>34</v>
      </c>
      <c r="E120" s="6" t="s">
        <v>35</v>
      </c>
      <c r="F120" s="6" t="s">
        <v>93</v>
      </c>
      <c r="G120" s="2"/>
      <c r="H120" s="6" t="s">
        <v>11</v>
      </c>
      <c r="I120" s="6" t="s">
        <v>88</v>
      </c>
    </row>
    <row r="121" spans="1:9" x14ac:dyDescent="0.55000000000000004">
      <c r="A121" s="7" t="s">
        <v>204</v>
      </c>
      <c r="B121" s="33">
        <f>B19*$B$116</f>
        <v>40</v>
      </c>
      <c r="C121" s="33">
        <f>C19*$B$116</f>
        <v>30</v>
      </c>
      <c r="D121" s="33">
        <f>D19*$B$116</f>
        <v>10</v>
      </c>
      <c r="E121" s="33">
        <f>E19*$B$116</f>
        <v>50</v>
      </c>
      <c r="F121" s="33">
        <f t="shared" ref="F121:F126" si="3">SUM(B121:E121)</f>
        <v>130</v>
      </c>
      <c r="G121" s="2"/>
      <c r="H121" s="2" t="s">
        <v>98</v>
      </c>
      <c r="I121" s="2" t="s">
        <v>205</v>
      </c>
    </row>
    <row r="122" spans="1:9" x14ac:dyDescent="0.55000000000000004">
      <c r="A122" s="7" t="s">
        <v>206</v>
      </c>
      <c r="B122" s="33">
        <f>B19*(1-$B$116)</f>
        <v>0</v>
      </c>
      <c r="C122" s="33">
        <f>C19*(1-$B$116)</f>
        <v>0</v>
      </c>
      <c r="D122" s="33">
        <f>D19*(1-$B$116)</f>
        <v>0</v>
      </c>
      <c r="E122" s="33">
        <f>E19*(1-$B$116)</f>
        <v>0</v>
      </c>
      <c r="F122" s="33">
        <f t="shared" si="3"/>
        <v>0</v>
      </c>
      <c r="G122" s="2"/>
      <c r="H122" s="2" t="s">
        <v>98</v>
      </c>
      <c r="I122" s="2" t="s">
        <v>207</v>
      </c>
    </row>
    <row r="123" spans="1:9" x14ac:dyDescent="0.55000000000000004">
      <c r="A123" s="7" t="s">
        <v>208</v>
      </c>
      <c r="B123" s="23">
        <f>SUMPRODUCT($B$147:$G$147,$B$108:$G$108)</f>
        <v>200.31953518182419</v>
      </c>
      <c r="C123" s="23">
        <f>SUMPRODUCT($B$148:$G$148,$B$109:$G$109)</f>
        <v>150.41293818150814</v>
      </c>
      <c r="D123" s="23">
        <f>SUMPRODUCT($B$149:$G$149,$B$110:$G$110)</f>
        <v>50.599744180876009</v>
      </c>
      <c r="E123" s="23">
        <f>SUMPRODUCT($B$150:$G$150,$B$111:$G$111)</f>
        <v>66.542129333754744</v>
      </c>
      <c r="F123" s="23">
        <f t="shared" si="3"/>
        <v>467.87434687796315</v>
      </c>
      <c r="G123" s="2"/>
      <c r="H123" s="2" t="s">
        <v>95</v>
      </c>
      <c r="I123" s="2" t="s">
        <v>209</v>
      </c>
    </row>
    <row r="124" spans="1:9" x14ac:dyDescent="0.55000000000000004">
      <c r="A124" s="7" t="s">
        <v>210</v>
      </c>
      <c r="B124" s="23">
        <f>SUMPRODUCT($B$147:$G$147,$B$35:$G$35)</f>
        <v>0</v>
      </c>
      <c r="C124" s="23">
        <f>SUMPRODUCT($B$148:$G$148,$B$36:$G$36)</f>
        <v>0</v>
      </c>
      <c r="D124" s="23">
        <f>SUMPRODUCT($B$149:$G$149,$B$37:$G$37)</f>
        <v>0</v>
      </c>
      <c r="E124" s="23">
        <f>SUMPRODUCT($B$150:$G$150,$B$38:$G$38)</f>
        <v>0</v>
      </c>
      <c r="F124" s="23">
        <f t="shared" si="3"/>
        <v>0</v>
      </c>
      <c r="G124" s="2"/>
      <c r="H124" s="2" t="s">
        <v>95</v>
      </c>
      <c r="I124" s="2" t="s">
        <v>211</v>
      </c>
    </row>
    <row r="125" spans="1:9" x14ac:dyDescent="0.55000000000000004">
      <c r="A125" s="7" t="s">
        <v>212</v>
      </c>
      <c r="B125" s="23">
        <f t="shared" ref="B125:E126" si="4">IF(B121=0,0,B121*(1-EXP(-B123/B121)))</f>
        <v>39.732626554474187</v>
      </c>
      <c r="C125" s="23">
        <f t="shared" si="4"/>
        <v>29.800624884152146</v>
      </c>
      <c r="D125" s="23">
        <f t="shared" si="4"/>
        <v>9.9365427815346692</v>
      </c>
      <c r="E125" s="23">
        <f t="shared" si="4"/>
        <v>36.787274492982746</v>
      </c>
      <c r="F125" s="23">
        <f t="shared" si="3"/>
        <v>116.25706871314375</v>
      </c>
      <c r="G125" s="2"/>
      <c r="H125" s="2" t="s">
        <v>98</v>
      </c>
      <c r="I125" s="2" t="s">
        <v>213</v>
      </c>
    </row>
    <row r="126" spans="1:9" x14ac:dyDescent="0.55000000000000004">
      <c r="A126" s="7" t="s">
        <v>214</v>
      </c>
      <c r="B126" s="23">
        <f t="shared" si="4"/>
        <v>0</v>
      </c>
      <c r="C126" s="23">
        <f t="shared" si="4"/>
        <v>0</v>
      </c>
      <c r="D126" s="23">
        <f t="shared" si="4"/>
        <v>0</v>
      </c>
      <c r="E126" s="23">
        <f t="shared" si="4"/>
        <v>0</v>
      </c>
      <c r="F126" s="23">
        <f t="shared" si="3"/>
        <v>0</v>
      </c>
      <c r="G126" s="2"/>
      <c r="H126" s="2" t="s">
        <v>98</v>
      </c>
      <c r="I126" s="2" t="s">
        <v>215</v>
      </c>
    </row>
    <row r="128" spans="1:9" x14ac:dyDescent="0.55000000000000004">
      <c r="A128" s="4" t="s">
        <v>216</v>
      </c>
      <c r="B128" s="5"/>
      <c r="C128" s="5"/>
      <c r="D128" s="5"/>
      <c r="E128" s="5"/>
      <c r="F128" s="5"/>
      <c r="G128" s="5"/>
      <c r="H128" s="5"/>
      <c r="I128" s="5"/>
    </row>
    <row r="129" spans="1:9" x14ac:dyDescent="0.55000000000000004">
      <c r="A129" s="6" t="s">
        <v>142</v>
      </c>
      <c r="B129" s="6" t="s">
        <v>143</v>
      </c>
      <c r="C129" s="2"/>
      <c r="D129" s="2"/>
      <c r="E129" s="2"/>
      <c r="F129" s="2"/>
      <c r="G129" s="2"/>
      <c r="H129" s="2"/>
      <c r="I129" s="6" t="s">
        <v>144</v>
      </c>
    </row>
    <row r="130" spans="1:9" x14ac:dyDescent="0.55000000000000004">
      <c r="A130" s="2" t="s">
        <v>217</v>
      </c>
      <c r="B130" s="2" t="b">
        <f>AND(PATRIOT_BATTERIES&gt;=0,PATRIOT_BATTERIES&lt;=PATRIOT_MAX,PATRIOT_BATTERIES=ROUND(PATRIOT_BATTERIES,0))</f>
        <v>1</v>
      </c>
      <c r="C130" s="2"/>
      <c r="D130" s="2"/>
      <c r="E130" s="2"/>
      <c r="F130" s="2"/>
      <c r="G130" s="2"/>
      <c r="H130" s="2"/>
      <c r="I130" s="2" t="s">
        <v>218</v>
      </c>
    </row>
    <row r="131" spans="1:9" x14ac:dyDescent="0.55000000000000004">
      <c r="A131" s="2" t="s">
        <v>219</v>
      </c>
      <c r="B131" s="2" t="b">
        <f>SITES_PER_PATRIOT*PATRIOT_BATTERIES&lt;=SITES</f>
        <v>1</v>
      </c>
      <c r="C131" s="2"/>
      <c r="D131" s="2"/>
      <c r="E131" s="2"/>
      <c r="F131" s="2"/>
      <c r="G131" s="2"/>
      <c r="H131" s="2"/>
      <c r="I131" s="2" t="s">
        <v>220</v>
      </c>
    </row>
    <row r="132" spans="1:9" x14ac:dyDescent="0.55000000000000004">
      <c r="A132" s="2" t="s">
        <v>221</v>
      </c>
      <c r="B132" s="2" t="b">
        <f>SUM(B35:C38)=0</f>
        <v>1</v>
      </c>
      <c r="C132" s="2"/>
      <c r="D132" s="2"/>
      <c r="E132" s="2"/>
      <c r="F132" s="2"/>
      <c r="G132" s="2"/>
      <c r="H132" s="2"/>
      <c r="I132" s="2" t="s">
        <v>222</v>
      </c>
    </row>
    <row r="133" spans="1:9" x14ac:dyDescent="0.55000000000000004">
      <c r="A133" s="2" t="s">
        <v>223</v>
      </c>
      <c r="B133" s="2" t="b">
        <f>IF(PATRIOT_SITES_COVERED=0,SUM(QC)=0,TRUE)</f>
        <v>1</v>
      </c>
      <c r="C133" s="2"/>
      <c r="D133" s="2"/>
      <c r="E133" s="2"/>
      <c r="F133" s="2"/>
      <c r="G133" s="2"/>
      <c r="H133" s="2"/>
      <c r="I133" s="2" t="s">
        <v>224</v>
      </c>
    </row>
    <row r="134" spans="1:9" x14ac:dyDescent="0.55000000000000004">
      <c r="A134" s="2" t="s">
        <v>225</v>
      </c>
      <c r="B134" s="2" t="b">
        <f>AND(AEGIS_SITES=SITES,THAAD_SITES=SITES)</f>
        <v>1</v>
      </c>
      <c r="C134" s="2"/>
      <c r="D134" s="2"/>
      <c r="E134" s="2"/>
      <c r="F134" s="2"/>
      <c r="G134" s="2"/>
      <c r="H134" s="2"/>
      <c r="I134" s="2" t="s">
        <v>226</v>
      </c>
    </row>
    <row r="136" spans="1:9" x14ac:dyDescent="0.55000000000000004">
      <c r="A136" s="4" t="s">
        <v>227</v>
      </c>
      <c r="B136" s="5"/>
      <c r="C136" s="5"/>
      <c r="D136" s="5"/>
      <c r="E136" s="5"/>
      <c r="F136" s="5"/>
      <c r="G136" s="5"/>
      <c r="H136" s="5"/>
      <c r="I136" s="5"/>
    </row>
    <row r="137" spans="1:9" x14ac:dyDescent="0.55000000000000004">
      <c r="A137" s="6" t="s">
        <v>165</v>
      </c>
      <c r="B137" s="6" t="s">
        <v>166</v>
      </c>
      <c r="C137" s="6" t="s">
        <v>167</v>
      </c>
      <c r="D137" s="6" t="s">
        <v>168</v>
      </c>
      <c r="E137" s="2"/>
      <c r="F137" s="2"/>
      <c r="G137" s="2"/>
      <c r="H137" s="2"/>
      <c r="I137" s="2"/>
    </row>
    <row r="138" spans="1:9" x14ac:dyDescent="0.55000000000000004">
      <c r="A138" s="2" t="s">
        <v>228</v>
      </c>
      <c r="B138" s="27">
        <f>MIN(16,2*8)/16</f>
        <v>1</v>
      </c>
      <c r="C138" s="10">
        <v>1</v>
      </c>
      <c r="D138" s="2" t="b">
        <f>B138=C138</f>
        <v>1</v>
      </c>
      <c r="E138" s="2"/>
      <c r="F138" s="2"/>
      <c r="G138" s="2"/>
      <c r="H138" s="2"/>
      <c r="I138" s="2"/>
    </row>
    <row r="139" spans="1:9" x14ac:dyDescent="0.55000000000000004">
      <c r="A139" s="2" t="s">
        <v>229</v>
      </c>
      <c r="B139" s="27">
        <f>40*(MIN(16,2*8)/16)</f>
        <v>40</v>
      </c>
      <c r="C139" s="10">
        <v>40</v>
      </c>
      <c r="D139" s="2" t="b">
        <f>B139=C139</f>
        <v>1</v>
      </c>
      <c r="E139" s="2"/>
      <c r="F139" s="2"/>
      <c r="G139" s="2"/>
      <c r="H139" s="2"/>
      <c r="I139" s="2"/>
    </row>
    <row r="140" spans="1:9" x14ac:dyDescent="0.55000000000000004">
      <c r="A140" s="2" t="s">
        <v>230</v>
      </c>
      <c r="B140" s="27">
        <f>8*6*16</f>
        <v>768</v>
      </c>
      <c r="C140" s="10">
        <v>768</v>
      </c>
      <c r="D140" s="2" t="b">
        <f>B140=C140</f>
        <v>1</v>
      </c>
      <c r="E140" s="2"/>
      <c r="F140" s="2"/>
      <c r="G140" s="2"/>
      <c r="H140" s="2"/>
      <c r="I140" s="2"/>
    </row>
    <row r="141" spans="1:9" x14ac:dyDescent="0.55000000000000004">
      <c r="A141" s="2" t="s">
        <v>231</v>
      </c>
      <c r="B141" s="27">
        <f>50*(1-MIN(16,2*4)/16)</f>
        <v>25</v>
      </c>
      <c r="C141" s="10">
        <v>25</v>
      </c>
      <c r="D141" s="2" t="b">
        <f>B141=C141</f>
        <v>1</v>
      </c>
      <c r="E141" s="2"/>
      <c r="F141" s="2"/>
      <c r="G141" s="2"/>
      <c r="H141" s="2"/>
      <c r="I141" s="2"/>
    </row>
    <row r="142" spans="1:9" x14ac:dyDescent="0.55000000000000004">
      <c r="A142" s="2" t="s">
        <v>232</v>
      </c>
      <c r="B142" s="27">
        <f>1*(1-EXP(-(-LN(1-0.5))*2))</f>
        <v>0.75</v>
      </c>
      <c r="C142" s="10">
        <v>0.75</v>
      </c>
      <c r="D142" s="2" t="b">
        <f>ROUND(B142,3)=C142</f>
        <v>1</v>
      </c>
      <c r="E142" s="2"/>
      <c r="F142" s="2"/>
      <c r="G142" s="2"/>
      <c r="H142" s="2"/>
      <c r="I142" s="2"/>
    </row>
    <row r="143" spans="1:9" x14ac:dyDescent="0.55000000000000004">
      <c r="A143" s="2" t="s">
        <v>233</v>
      </c>
      <c r="B143" s="27">
        <f>20*(1-EXP(-(-LN(1-0.5))*20/20))</f>
        <v>10</v>
      </c>
      <c r="C143" s="10">
        <v>10</v>
      </c>
      <c r="D143" s="2" t="b">
        <f>ROUND(B143,3)=C143</f>
        <v>1</v>
      </c>
      <c r="E143" s="2"/>
      <c r="F143" s="2"/>
      <c r="G143" s="2"/>
      <c r="H143" s="2"/>
      <c r="I143" s="2"/>
    </row>
    <row r="145" spans="1:9" x14ac:dyDescent="0.55000000000000004">
      <c r="A145" s="4" t="s">
        <v>234</v>
      </c>
      <c r="B145" s="5"/>
      <c r="C145" s="5"/>
      <c r="D145" s="5"/>
      <c r="E145" s="5"/>
      <c r="F145" s="5"/>
      <c r="G145" s="5"/>
      <c r="H145" s="5"/>
      <c r="I145" s="5"/>
    </row>
    <row r="146" spans="1:9" x14ac:dyDescent="0.55000000000000004">
      <c r="A146" s="6" t="s">
        <v>4</v>
      </c>
      <c r="B146" s="6" t="s">
        <v>5</v>
      </c>
      <c r="C146" s="6" t="s">
        <v>6</v>
      </c>
      <c r="D146" s="6" t="s">
        <v>7</v>
      </c>
      <c r="E146" s="6" t="s">
        <v>8</v>
      </c>
      <c r="F146" s="6" t="s">
        <v>9</v>
      </c>
      <c r="G146" s="6" t="s">
        <v>10</v>
      </c>
      <c r="H146" s="6" t="s">
        <v>11</v>
      </c>
      <c r="I146" s="6" t="s">
        <v>88</v>
      </c>
    </row>
    <row r="147" spans="1:9" x14ac:dyDescent="0.55000000000000004">
      <c r="A147" s="7" t="s">
        <v>235</v>
      </c>
      <c r="B147" s="27">
        <f t="shared" ref="B147:G150" si="5">IF(B9&gt;=1,50,-LN(1-B9))</f>
        <v>0.69314718055994529</v>
      </c>
      <c r="C147" s="27">
        <f t="shared" si="5"/>
        <v>0.69314718055994529</v>
      </c>
      <c r="D147" s="27">
        <f t="shared" si="5"/>
        <v>0.69314718055994529</v>
      </c>
      <c r="E147" s="27">
        <f t="shared" si="5"/>
        <v>0.69314718055994529</v>
      </c>
      <c r="F147" s="27">
        <f t="shared" si="5"/>
        <v>0</v>
      </c>
      <c r="G147" s="27">
        <f t="shared" si="5"/>
        <v>0.69314718055994529</v>
      </c>
      <c r="H147" s="2" t="s">
        <v>236</v>
      </c>
      <c r="I147" s="2" t="s">
        <v>237</v>
      </c>
    </row>
    <row r="148" spans="1:9" x14ac:dyDescent="0.55000000000000004">
      <c r="A148" s="7" t="s">
        <v>238</v>
      </c>
      <c r="B148" s="27">
        <f t="shared" si="5"/>
        <v>0.69314718055994529</v>
      </c>
      <c r="C148" s="27">
        <f t="shared" si="5"/>
        <v>0.69314718055994529</v>
      </c>
      <c r="D148" s="27">
        <f t="shared" si="5"/>
        <v>0</v>
      </c>
      <c r="E148" s="27">
        <f t="shared" si="5"/>
        <v>0</v>
      </c>
      <c r="F148" s="27">
        <f t="shared" si="5"/>
        <v>0.69314718055994529</v>
      </c>
      <c r="G148" s="27">
        <f t="shared" si="5"/>
        <v>0.69314718055994529</v>
      </c>
      <c r="H148" s="2" t="s">
        <v>236</v>
      </c>
      <c r="I148" s="2" t="s">
        <v>237</v>
      </c>
    </row>
    <row r="149" spans="1:9" x14ac:dyDescent="0.55000000000000004">
      <c r="A149" s="7" t="s">
        <v>239</v>
      </c>
      <c r="B149" s="27">
        <f t="shared" si="5"/>
        <v>0.69314718055994529</v>
      </c>
      <c r="C149" s="27">
        <f t="shared" si="5"/>
        <v>0.69314718055994529</v>
      </c>
      <c r="D149" s="27">
        <f t="shared" si="5"/>
        <v>0</v>
      </c>
      <c r="E149" s="27">
        <f t="shared" si="5"/>
        <v>0</v>
      </c>
      <c r="F149" s="27">
        <f t="shared" si="5"/>
        <v>0.69314718055994529</v>
      </c>
      <c r="G149" s="27">
        <f t="shared" si="5"/>
        <v>0.69314718055994529</v>
      </c>
      <c r="H149" s="2" t="s">
        <v>236</v>
      </c>
      <c r="I149" s="2" t="s">
        <v>237</v>
      </c>
    </row>
    <row r="150" spans="1:9" x14ac:dyDescent="0.55000000000000004">
      <c r="A150" s="7" t="s">
        <v>240</v>
      </c>
      <c r="B150" s="27">
        <f t="shared" si="5"/>
        <v>0</v>
      </c>
      <c r="C150" s="27">
        <f t="shared" si="5"/>
        <v>0</v>
      </c>
      <c r="D150" s="27">
        <f t="shared" si="5"/>
        <v>0</v>
      </c>
      <c r="E150" s="27">
        <f t="shared" si="5"/>
        <v>0</v>
      </c>
      <c r="F150" s="27">
        <f t="shared" si="5"/>
        <v>0</v>
      </c>
      <c r="G150" s="27">
        <f t="shared" si="5"/>
        <v>0.69314718055994529</v>
      </c>
      <c r="H150" s="2" t="s">
        <v>236</v>
      </c>
      <c r="I150" s="2" t="s">
        <v>237</v>
      </c>
    </row>
    <row r="152" spans="1:9" x14ac:dyDescent="0.55000000000000004">
      <c r="A152" s="4" t="s">
        <v>241</v>
      </c>
      <c r="B152" s="5"/>
      <c r="C152" s="5"/>
      <c r="D152" s="5"/>
      <c r="E152" s="5"/>
      <c r="F152" s="5"/>
      <c r="G152" s="5"/>
      <c r="H152" s="5"/>
      <c r="I152" s="5"/>
    </row>
    <row r="153" spans="1:9" x14ac:dyDescent="0.55000000000000004">
      <c r="A153" s="6" t="s">
        <v>4</v>
      </c>
      <c r="B153" s="6" t="s">
        <v>46</v>
      </c>
      <c r="C153" s="6"/>
      <c r="D153" s="6"/>
      <c r="E153" s="6"/>
      <c r="F153" s="6"/>
      <c r="G153" s="6"/>
      <c r="H153" s="6" t="s">
        <v>11</v>
      </c>
      <c r="I153" s="6" t="s">
        <v>12</v>
      </c>
    </row>
    <row r="154" spans="1:9" x14ac:dyDescent="0.55000000000000004">
      <c r="A154" s="7" t="s">
        <v>242</v>
      </c>
      <c r="B154" s="30">
        <v>3</v>
      </c>
      <c r="C154" s="2"/>
      <c r="D154" s="2"/>
      <c r="E154" s="2"/>
      <c r="F154" s="2"/>
      <c r="G154" s="2"/>
      <c r="H154" s="2" t="s">
        <v>243</v>
      </c>
      <c r="I154" s="2" t="s">
        <v>244</v>
      </c>
    </row>
    <row r="156" spans="1:9" x14ac:dyDescent="0.55000000000000004">
      <c r="A156" s="6" t="s">
        <v>245</v>
      </c>
      <c r="B156" s="6" t="s">
        <v>5</v>
      </c>
      <c r="C156" s="6" t="s">
        <v>6</v>
      </c>
      <c r="D156" s="6" t="s">
        <v>7</v>
      </c>
      <c r="E156" s="6" t="s">
        <v>8</v>
      </c>
      <c r="F156" s="6" t="s">
        <v>9</v>
      </c>
      <c r="G156" s="6" t="s">
        <v>10</v>
      </c>
      <c r="H156" s="6" t="s">
        <v>11</v>
      </c>
      <c r="I156" s="6" t="s">
        <v>246</v>
      </c>
    </row>
    <row r="157" spans="1:9" x14ac:dyDescent="0.55000000000000004">
      <c r="A157" s="7" t="s">
        <v>247</v>
      </c>
      <c r="B157" s="30">
        <v>0</v>
      </c>
      <c r="C157" s="30">
        <v>1</v>
      </c>
      <c r="D157" s="30">
        <v>0</v>
      </c>
      <c r="E157" s="30">
        <v>0</v>
      </c>
      <c r="F157" s="30">
        <v>0</v>
      </c>
      <c r="G157" s="30">
        <v>0</v>
      </c>
      <c r="H157" s="2" t="s">
        <v>248</v>
      </c>
      <c r="I157" s="2" t="s">
        <v>249</v>
      </c>
    </row>
    <row r="158" spans="1:9" x14ac:dyDescent="0.55000000000000004">
      <c r="A158" s="7" t="s">
        <v>250</v>
      </c>
      <c r="B158" s="30">
        <v>0</v>
      </c>
      <c r="C158" s="30">
        <v>0</v>
      </c>
      <c r="D158" s="30">
        <v>1</v>
      </c>
      <c r="E158" s="30">
        <v>1</v>
      </c>
      <c r="F158" s="30">
        <v>0</v>
      </c>
      <c r="G158" s="30">
        <v>1</v>
      </c>
      <c r="H158" s="2" t="s">
        <v>248</v>
      </c>
      <c r="I158" s="2" t="s">
        <v>251</v>
      </c>
    </row>
    <row r="159" spans="1:9" x14ac:dyDescent="0.55000000000000004">
      <c r="A159" s="7" t="s">
        <v>252</v>
      </c>
      <c r="B159" s="30">
        <v>1</v>
      </c>
      <c r="C159" s="30">
        <v>1</v>
      </c>
      <c r="D159" s="30">
        <v>1</v>
      </c>
      <c r="E159" s="30">
        <v>1</v>
      </c>
      <c r="F159" s="30">
        <v>1</v>
      </c>
      <c r="G159" s="30">
        <v>1</v>
      </c>
      <c r="H159" s="2" t="s">
        <v>248</v>
      </c>
      <c r="I159" s="2" t="s">
        <v>253</v>
      </c>
    </row>
    <row r="160" spans="1:9" x14ac:dyDescent="0.55000000000000004">
      <c r="A160" s="7" t="s">
        <v>254</v>
      </c>
      <c r="B160" s="31">
        <f t="shared" ref="B160:G160" si="6">INDEX(B$157:B$159,OPTION)</f>
        <v>1</v>
      </c>
      <c r="C160" s="31">
        <f t="shared" si="6"/>
        <v>1</v>
      </c>
      <c r="D160" s="31">
        <f t="shared" si="6"/>
        <v>1</v>
      </c>
      <c r="E160" s="31">
        <f t="shared" si="6"/>
        <v>1</v>
      </c>
      <c r="F160" s="31">
        <f t="shared" si="6"/>
        <v>1</v>
      </c>
      <c r="G160" s="31">
        <f t="shared" si="6"/>
        <v>1</v>
      </c>
      <c r="H160" s="2" t="s">
        <v>248</v>
      </c>
      <c r="I160" s="2" t="s">
        <v>255</v>
      </c>
    </row>
    <row r="162" spans="1:9" x14ac:dyDescent="0.55000000000000004">
      <c r="A162" s="4" t="s">
        <v>256</v>
      </c>
      <c r="B162" s="5"/>
      <c r="C162" s="5"/>
      <c r="D162" s="5"/>
      <c r="E162" s="5"/>
      <c r="F162" s="5"/>
      <c r="G162" s="5"/>
      <c r="H162" s="5"/>
      <c r="I162" s="5"/>
    </row>
    <row r="163" spans="1:9" x14ac:dyDescent="0.55000000000000004">
      <c r="A163" s="6" t="s">
        <v>4</v>
      </c>
      <c r="B163" s="6" t="s">
        <v>46</v>
      </c>
      <c r="C163" s="6"/>
      <c r="D163" s="6"/>
      <c r="E163" s="6"/>
      <c r="F163" s="6"/>
      <c r="G163" s="6"/>
      <c r="H163" s="6" t="s">
        <v>11</v>
      </c>
      <c r="I163" s="6" t="s">
        <v>88</v>
      </c>
    </row>
    <row r="164" spans="1:9" x14ac:dyDescent="0.55000000000000004">
      <c r="A164" s="7" t="s">
        <v>257</v>
      </c>
      <c r="B164" s="31">
        <f>IF(OPTION=1,PATRIOT_MAX,0)</f>
        <v>0</v>
      </c>
      <c r="C164" s="2"/>
      <c r="D164" s="2"/>
      <c r="E164" s="2"/>
      <c r="F164" s="2"/>
      <c r="G164" s="2"/>
      <c r="H164" s="2" t="s">
        <v>181</v>
      </c>
      <c r="I164" s="2" t="s">
        <v>258</v>
      </c>
    </row>
    <row r="165" spans="1:9" x14ac:dyDescent="0.55000000000000004">
      <c r="A165" s="7" t="s">
        <v>259</v>
      </c>
      <c r="B165" s="31">
        <f>IF(OPTION=2,0,PATRIOT_MAX)</f>
        <v>8</v>
      </c>
      <c r="C165" s="2"/>
      <c r="D165" s="2"/>
      <c r="E165" s="2"/>
      <c r="F165" s="2"/>
      <c r="G165" s="2"/>
      <c r="H165" s="2" t="s">
        <v>181</v>
      </c>
      <c r="I165" s="2" t="s">
        <v>260</v>
      </c>
    </row>
    <row r="166" spans="1:9" x14ac:dyDescent="0.55000000000000004">
      <c r="A166" s="7" t="s">
        <v>261</v>
      </c>
      <c r="B166" s="31">
        <f>IF(OPTION=1,0,1)</f>
        <v>1</v>
      </c>
      <c r="C166" s="2"/>
      <c r="D166" s="2"/>
      <c r="E166" s="2"/>
      <c r="F166" s="2"/>
      <c r="G166" s="2"/>
      <c r="H166" s="2" t="s">
        <v>248</v>
      </c>
      <c r="I166" s="2" t="s">
        <v>262</v>
      </c>
    </row>
    <row r="167" spans="1:9" x14ac:dyDescent="0.55000000000000004">
      <c r="A167" s="7" t="s">
        <v>263</v>
      </c>
      <c r="B167" s="31">
        <f>IF(OPTION=1,MSE_Q-PATRIOT_LAUNCHERS*12*PATRIOT_BATTERIES,0)</f>
        <v>0</v>
      </c>
      <c r="C167" s="2"/>
      <c r="D167" s="2"/>
      <c r="E167" s="2"/>
      <c r="F167" s="2"/>
      <c r="G167" s="2"/>
      <c r="H167" s="2" t="s">
        <v>68</v>
      </c>
      <c r="I167" s="2" t="s">
        <v>264</v>
      </c>
    </row>
    <row r="169" spans="1:9" x14ac:dyDescent="0.55000000000000004">
      <c r="A169" s="4" t="s">
        <v>265</v>
      </c>
      <c r="B169" s="5"/>
      <c r="C169" s="5"/>
      <c r="D169" s="5"/>
      <c r="E169" s="5"/>
      <c r="F169" s="5"/>
      <c r="G169" s="5"/>
      <c r="H169" s="5"/>
      <c r="I169" s="5"/>
    </row>
    <row r="170" spans="1:9" x14ac:dyDescent="0.55000000000000004">
      <c r="A170" s="6" t="s">
        <v>142</v>
      </c>
      <c r="B170" s="6" t="s">
        <v>143</v>
      </c>
      <c r="C170" s="2"/>
      <c r="D170" s="2"/>
      <c r="E170" s="2"/>
      <c r="F170" s="2"/>
      <c r="G170" s="2"/>
      <c r="H170" s="2"/>
      <c r="I170" s="6" t="s">
        <v>144</v>
      </c>
    </row>
    <row r="171" spans="1:9" x14ac:dyDescent="0.55000000000000004">
      <c r="A171" s="2" t="s">
        <v>266</v>
      </c>
      <c r="B171" s="2" t="b">
        <f>SUMPRODUCT(--(ALLOWED_NOW=0),Q_TOTAL)=0</f>
        <v>1</v>
      </c>
      <c r="C171" s="2"/>
      <c r="D171" s="2"/>
      <c r="E171" s="2"/>
      <c r="F171" s="2"/>
      <c r="G171" s="2"/>
      <c r="H171" s="2"/>
      <c r="I171" s="2" t="s">
        <v>267</v>
      </c>
    </row>
    <row r="172" spans="1:9" x14ac:dyDescent="0.55000000000000004">
      <c r="A172" s="2" t="s">
        <v>268</v>
      </c>
      <c r="B172" s="2" t="b">
        <f>AND(PATRIOT_BATTERIES&gt;=PATRIOT_MIN,PATRIOT_BATTERIES&lt;=PATRIOT_MAX_NOW)</f>
        <v>1</v>
      </c>
      <c r="C172" s="2"/>
      <c r="D172" s="2"/>
      <c r="E172" s="2"/>
      <c r="F172" s="2"/>
      <c r="G172" s="2"/>
      <c r="H172" s="2"/>
      <c r="I172" s="2" t="s">
        <v>269</v>
      </c>
    </row>
    <row r="173" spans="1:9" x14ac:dyDescent="0.55000000000000004">
      <c r="A173" s="2" t="s">
        <v>270</v>
      </c>
      <c r="B173" s="2" t="b">
        <f>BUILD_AEGIS&lt;=AEGIS_ALLOWED</f>
        <v>1</v>
      </c>
      <c r="C173" s="2"/>
      <c r="D173" s="2"/>
      <c r="E173" s="2"/>
      <c r="F173" s="2"/>
      <c r="G173" s="2"/>
      <c r="H173" s="2"/>
      <c r="I173" s="2" t="s">
        <v>271</v>
      </c>
    </row>
    <row r="174" spans="1:9" x14ac:dyDescent="0.55000000000000004">
      <c r="A174" s="2" t="s">
        <v>272</v>
      </c>
      <c r="B174" s="2" t="b">
        <f>MSE_FULL_SLACK=0</f>
        <v>1</v>
      </c>
      <c r="C174" s="2"/>
      <c r="D174" s="2"/>
      <c r="E174" s="2"/>
      <c r="F174" s="2"/>
      <c r="G174" s="2"/>
      <c r="H174" s="2"/>
      <c r="I174" s="2" t="s">
        <v>273</v>
      </c>
    </row>
  </sheetData>
  <dataValidations count="2">
    <dataValidation type="whole" showErrorMessage="1" errorTitle="Patriot batteries" error="Whole number from 0 to PATRIOT_MAX (Guam limit)." sqref="C41" xr:uid="{00000000-0002-0000-0000-000000000000}">
      <formula1>0</formula1>
      <formula2>PATRIOT_MAX</formula2>
    </dataValidation>
    <dataValidation type="list" sqref="B154" xr:uid="{00000000-0002-0000-0000-000001000000}">
      <formula1>"1,2,3"</formula1>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workbookViewId="0">
      <pane ySplit="5" topLeftCell="A6" activePane="bottomLeft" state="frozen"/>
      <selection pane="bottomLeft"/>
    </sheetView>
  </sheetViews>
  <sheetFormatPr defaultRowHeight="14.4" x14ac:dyDescent="0.55000000000000004"/>
  <cols>
    <col min="1" max="1" width="40" customWidth="1"/>
    <col min="2" max="2" width="24" customWidth="1"/>
    <col min="3" max="3" width="18" customWidth="1"/>
    <col min="4" max="4" width="22" customWidth="1"/>
    <col min="5" max="5" width="18" customWidth="1"/>
    <col min="6" max="6" width="16" customWidth="1"/>
    <col min="7" max="7" width="22" customWidth="1"/>
    <col min="8" max="8" width="70" customWidth="1"/>
  </cols>
  <sheetData>
    <row r="1" spans="1:8" ht="16.8" x14ac:dyDescent="0.65">
      <c r="A1" s="34" t="s">
        <v>274</v>
      </c>
    </row>
    <row r="2" spans="1:8" ht="46" customHeight="1" x14ac:dyDescent="0.55000000000000004">
      <c r="A2" s="44" t="s">
        <v>275</v>
      </c>
      <c r="B2" s="45"/>
      <c r="C2" s="45"/>
      <c r="D2" s="45"/>
      <c r="E2" s="45"/>
      <c r="F2" s="45"/>
      <c r="G2" s="45"/>
      <c r="H2" s="45"/>
    </row>
    <row r="3" spans="1:8" ht="46" customHeight="1" x14ac:dyDescent="0.55000000000000004">
      <c r="A3" s="44" t="s">
        <v>276</v>
      </c>
      <c r="B3" s="45"/>
      <c r="C3" s="45"/>
      <c r="D3" s="45"/>
      <c r="E3" s="45"/>
      <c r="F3" s="45"/>
      <c r="G3" s="45"/>
      <c r="H3" s="45"/>
    </row>
    <row r="5" spans="1:8" x14ac:dyDescent="0.55000000000000004">
      <c r="A5" s="35" t="s">
        <v>277</v>
      </c>
      <c r="B5" s="35" t="s">
        <v>278</v>
      </c>
      <c r="C5" s="35" t="s">
        <v>279</v>
      </c>
      <c r="D5" s="35" t="s">
        <v>280</v>
      </c>
      <c r="E5" s="35" t="s">
        <v>281</v>
      </c>
      <c r="F5" s="35" t="s">
        <v>282</v>
      </c>
      <c r="G5" s="35" t="s">
        <v>283</v>
      </c>
      <c r="H5" s="35" t="s">
        <v>284</v>
      </c>
    </row>
    <row r="6" spans="1:8" x14ac:dyDescent="0.55000000000000004">
      <c r="A6" t="str">
        <f>Scenarios!N13</f>
        <v>1 - 8 Patriot batteries, MSE only</v>
      </c>
      <c r="B6" t="str">
        <f>Scenarios!B13</f>
        <v>A ballistic-heavy</v>
      </c>
      <c r="C6" s="36">
        <v>92</v>
      </c>
      <c r="D6" s="37">
        <f>Scenarios!C13*100</f>
        <v>91.564768170863132</v>
      </c>
      <c r="E6" t="b">
        <f t="shared" ref="E6:E14" si="0">ROUND(D6,0)=C6</f>
        <v>1</v>
      </c>
      <c r="F6" s="38">
        <f>Scenarios!D13</f>
        <v>5619.2</v>
      </c>
      <c r="G6" s="37">
        <f t="shared" ref="G6:G14" si="1">D6/(F6/1000)</f>
        <v>16.294982946124559</v>
      </c>
      <c r="H6" t="s">
        <v>285</v>
      </c>
    </row>
    <row r="7" spans="1:8" x14ac:dyDescent="0.55000000000000004">
      <c r="A7" t="str">
        <f>Scenarios!N14</f>
        <v>1 - 8 Patriot batteries, MSE only</v>
      </c>
      <c r="B7" t="str">
        <f>Scenarios!B14</f>
        <v>B cruise-heavy</v>
      </c>
      <c r="C7" s="36">
        <v>89</v>
      </c>
      <c r="D7" s="37">
        <f>Scenarios!C14*100</f>
        <v>88.496928853866237</v>
      </c>
      <c r="E7" t="b">
        <f t="shared" si="0"/>
        <v>0</v>
      </c>
      <c r="F7" s="38">
        <f>Scenarios!D14</f>
        <v>5619.2</v>
      </c>
      <c r="G7" s="37">
        <f t="shared" si="1"/>
        <v>15.749026347854896</v>
      </c>
      <c r="H7" t="s">
        <v>286</v>
      </c>
    </row>
    <row r="8" spans="1:8" x14ac:dyDescent="0.55000000000000004">
      <c r="A8" t="str">
        <f>Scenarios!N15</f>
        <v>1 - 8 Patriot batteries, MSE only</v>
      </c>
      <c r="B8" t="str">
        <f>Scenarios!B15</f>
        <v>C drone saturation</v>
      </c>
      <c r="C8" s="36">
        <v>49</v>
      </c>
      <c r="D8" s="37">
        <f>Scenarios!C15*100</f>
        <v>49.000734304430935</v>
      </c>
      <c r="E8" t="b">
        <f t="shared" si="0"/>
        <v>1</v>
      </c>
      <c r="F8" s="38">
        <f>Scenarios!D15</f>
        <v>5619.2</v>
      </c>
      <c r="G8" s="37">
        <f t="shared" si="1"/>
        <v>8.7202331834479878</v>
      </c>
      <c r="H8" t="s">
        <v>287</v>
      </c>
    </row>
    <row r="9" spans="1:8" x14ac:dyDescent="0.55000000000000004">
      <c r="A9" t="str">
        <f>Scenarios!N16</f>
        <v>2 - current Guam plan</v>
      </c>
      <c r="B9" t="str">
        <f>Scenarios!B16</f>
        <v>A ballistic-heavy</v>
      </c>
      <c r="C9" s="36">
        <v>68</v>
      </c>
      <c r="D9" s="37">
        <f>Scenarios!C16*100</f>
        <v>67.50219543148711</v>
      </c>
      <c r="E9" t="b">
        <f t="shared" si="0"/>
        <v>1</v>
      </c>
      <c r="F9" s="38">
        <f>Scenarios!D16</f>
        <v>4120.5</v>
      </c>
      <c r="G9" s="37">
        <f t="shared" si="1"/>
        <v>16.382039905712197</v>
      </c>
      <c r="H9" t="s">
        <v>288</v>
      </c>
    </row>
    <row r="10" spans="1:8" x14ac:dyDescent="0.55000000000000004">
      <c r="A10" t="str">
        <f>Scenarios!N17</f>
        <v>2 - current Guam plan</v>
      </c>
      <c r="B10" t="str">
        <f>Scenarios!B17</f>
        <v>B cruise-heavy</v>
      </c>
      <c r="C10" s="36">
        <v>53</v>
      </c>
      <c r="D10" s="37">
        <f>Scenarios!C17*100</f>
        <v>53.314098651500117</v>
      </c>
      <c r="E10" t="b">
        <f t="shared" si="0"/>
        <v>1</v>
      </c>
      <c r="F10" s="38">
        <f>Scenarios!D17</f>
        <v>3138.4</v>
      </c>
      <c r="G10" s="37">
        <f t="shared" si="1"/>
        <v>16.987668446182806</v>
      </c>
      <c r="H10" t="s">
        <v>289</v>
      </c>
    </row>
    <row r="11" spans="1:8" x14ac:dyDescent="0.55000000000000004">
      <c r="A11" t="str">
        <f>Scenarios!N18</f>
        <v>2 - current Guam plan</v>
      </c>
      <c r="B11" t="str">
        <f>Scenarios!B18</f>
        <v>C drone saturation</v>
      </c>
      <c r="C11" s="36">
        <v>43</v>
      </c>
      <c r="D11" s="37">
        <f>Scenarios!C18*100</f>
        <v>42.504531621732674</v>
      </c>
      <c r="E11" t="b">
        <f t="shared" si="0"/>
        <v>1</v>
      </c>
      <c r="F11" s="38">
        <f>Scenarios!D18</f>
        <v>3138.4</v>
      </c>
      <c r="G11" s="37">
        <f t="shared" si="1"/>
        <v>13.543376122142707</v>
      </c>
      <c r="H11" t="s">
        <v>290</v>
      </c>
    </row>
    <row r="12" spans="1:8" x14ac:dyDescent="0.55000000000000004">
      <c r="A12" t="str">
        <f>Scenarios!N19</f>
        <v>3 - optimal mix (up to 8 batteries)</v>
      </c>
      <c r="B12" t="str">
        <f>Scenarios!B19</f>
        <v>A ballistic-heavy</v>
      </c>
      <c r="C12" s="36">
        <v>97</v>
      </c>
      <c r="D12" s="37">
        <f>Scenarios!C19*100</f>
        <v>97.322318060097501</v>
      </c>
      <c r="E12" t="b">
        <f t="shared" si="0"/>
        <v>1</v>
      </c>
      <c r="F12" s="38">
        <f>Scenarios!D19</f>
        <v>7999.6</v>
      </c>
      <c r="G12" s="37">
        <f t="shared" si="1"/>
        <v>12.165898052414809</v>
      </c>
      <c r="H12" t="s">
        <v>291</v>
      </c>
    </row>
    <row r="13" spans="1:8" x14ac:dyDescent="0.55000000000000004">
      <c r="A13" t="str">
        <f>Scenarios!N20</f>
        <v>3 - optimal mix (up to 8 batteries)</v>
      </c>
      <c r="B13" t="str">
        <f>Scenarios!B20</f>
        <v>B cruise-heavy</v>
      </c>
      <c r="C13" s="36">
        <v>95</v>
      </c>
      <c r="D13" s="37">
        <f>Scenarios!C20*100</f>
        <v>94.901427402312876</v>
      </c>
      <c r="E13" t="b">
        <f t="shared" si="0"/>
        <v>1</v>
      </c>
      <c r="F13" s="38">
        <f>Scenarios!D20</f>
        <v>7999.8</v>
      </c>
      <c r="G13" s="37">
        <f t="shared" si="1"/>
        <v>11.8629749996641</v>
      </c>
      <c r="H13" t="s">
        <v>292</v>
      </c>
    </row>
    <row r="14" spans="1:8" x14ac:dyDescent="0.55000000000000004">
      <c r="A14" t="str">
        <f>Scenarios!N21</f>
        <v>3 - optimal mix (up to 8 batteries)</v>
      </c>
      <c r="B14" t="str">
        <f>Scenarios!B21</f>
        <v>C drone saturation</v>
      </c>
      <c r="C14" s="36">
        <v>59</v>
      </c>
      <c r="D14" s="37">
        <f>Scenarios!C21*100</f>
        <v>58.955297540037236</v>
      </c>
      <c r="E14" t="b">
        <f t="shared" si="0"/>
        <v>1</v>
      </c>
      <c r="F14" s="38">
        <f>Scenarios!D21</f>
        <v>7616.6</v>
      </c>
      <c r="G14" s="37">
        <f t="shared" si="1"/>
        <v>7.7403693957982878</v>
      </c>
      <c r="H14" t="s">
        <v>293</v>
      </c>
    </row>
    <row r="16" spans="1:8" x14ac:dyDescent="0.55000000000000004">
      <c r="A16" s="39" t="s">
        <v>294</v>
      </c>
      <c r="E16" s="39" t="b">
        <f>AND(E6:E14)</f>
        <v>0</v>
      </c>
    </row>
    <row r="18" spans="1:8" x14ac:dyDescent="0.55000000000000004">
      <c r="A18" s="39" t="s">
        <v>295</v>
      </c>
    </row>
    <row r="19" spans="1:8" x14ac:dyDescent="0.55000000000000004">
      <c r="A19" s="40" t="s">
        <v>277</v>
      </c>
      <c r="B19" s="40" t="s">
        <v>296</v>
      </c>
      <c r="C19" s="40" t="s">
        <v>297</v>
      </c>
      <c r="D19" s="40" t="s">
        <v>298</v>
      </c>
      <c r="E19" s="40" t="s">
        <v>299</v>
      </c>
      <c r="F19" s="40" t="s">
        <v>281</v>
      </c>
    </row>
    <row r="20" spans="1:8" x14ac:dyDescent="0.55000000000000004">
      <c r="A20" t="str">
        <f>A6</f>
        <v>1 - 8 Patriot batteries, MSE only</v>
      </c>
      <c r="B20" s="36">
        <v>5.6</v>
      </c>
      <c r="C20" s="36">
        <v>5.6</v>
      </c>
      <c r="D20">
        <f>ROUND(MIN(F6:F8)/1000,1)</f>
        <v>5.6</v>
      </c>
      <c r="E20">
        <f>ROUND(MAX(F6:F8)/1000,1)</f>
        <v>5.6</v>
      </c>
      <c r="F20" t="b">
        <f>AND(D20=B20,E20=C20)</f>
        <v>1</v>
      </c>
    </row>
    <row r="21" spans="1:8" x14ac:dyDescent="0.55000000000000004">
      <c r="A21" t="str">
        <f>A9</f>
        <v>2 - current Guam plan</v>
      </c>
      <c r="B21" s="36">
        <v>3.1</v>
      </c>
      <c r="C21" s="36">
        <v>4.0999999999999996</v>
      </c>
      <c r="D21">
        <f>ROUND(MIN(F9:F11)/1000,1)</f>
        <v>3.1</v>
      </c>
      <c r="E21">
        <f>ROUND(MAX(F9:F11)/1000,1)</f>
        <v>4.0999999999999996</v>
      </c>
      <c r="F21" t="b">
        <f>AND(D21=B21,E21=C21)</f>
        <v>1</v>
      </c>
    </row>
    <row r="22" spans="1:8" x14ac:dyDescent="0.55000000000000004">
      <c r="A22" t="str">
        <f>A12</f>
        <v>3 - optimal mix (up to 8 batteries)</v>
      </c>
      <c r="B22" s="36">
        <v>7.6</v>
      </c>
      <c r="C22" s="36">
        <v>8</v>
      </c>
      <c r="D22">
        <f>ROUND(MIN(F12:F14)/1000,1)</f>
        <v>7.6</v>
      </c>
      <c r="E22">
        <f>ROUND(MAX(F12:F14)/1000,1)</f>
        <v>8</v>
      </c>
      <c r="F22" t="b">
        <f>AND(D22=B22,E22=C22)</f>
        <v>1</v>
      </c>
    </row>
    <row r="25" spans="1:8" ht="15.6" x14ac:dyDescent="0.6">
      <c r="A25" s="41" t="s">
        <v>300</v>
      </c>
    </row>
    <row r="26" spans="1:8" ht="32.049999999999997" customHeight="1" x14ac:dyDescent="0.55000000000000004">
      <c r="A26" s="44" t="s">
        <v>301</v>
      </c>
      <c r="B26" s="45"/>
      <c r="C26" s="45"/>
      <c r="D26" s="45"/>
      <c r="E26" s="45"/>
      <c r="F26" s="45"/>
      <c r="G26" s="45"/>
      <c r="H26" s="45"/>
    </row>
    <row r="27" spans="1:8" ht="28.8" x14ac:dyDescent="0.55000000000000004">
      <c r="A27" s="35" t="s">
        <v>302</v>
      </c>
      <c r="B27" s="35" t="s">
        <v>278</v>
      </c>
      <c r="C27" s="35" t="s">
        <v>303</v>
      </c>
      <c r="D27" s="35" t="s">
        <v>282</v>
      </c>
      <c r="E27" s="35" t="s">
        <v>283</v>
      </c>
      <c r="F27" s="35" t="s">
        <v>304</v>
      </c>
      <c r="G27" s="35" t="s">
        <v>305</v>
      </c>
      <c r="H27" s="35" t="s">
        <v>306</v>
      </c>
    </row>
    <row r="28" spans="1:8" x14ac:dyDescent="0.55000000000000004">
      <c r="A28" s="36">
        <v>2000</v>
      </c>
      <c r="B28" t="s">
        <v>71</v>
      </c>
      <c r="C28" s="42">
        <v>55.536000000000001</v>
      </c>
      <c r="D28" s="43">
        <v>1998.7</v>
      </c>
      <c r="E28" s="37">
        <f t="shared" ref="E28:E51" si="2">C28/(D28/1000)</f>
        <v>27.786060939610746</v>
      </c>
      <c r="G28">
        <v>3</v>
      </c>
      <c r="H28">
        <v>0</v>
      </c>
    </row>
    <row r="29" spans="1:8" x14ac:dyDescent="0.55000000000000004">
      <c r="A29" s="36">
        <v>2000</v>
      </c>
      <c r="B29" t="s">
        <v>307</v>
      </c>
      <c r="C29" s="42">
        <v>41.706000000000003</v>
      </c>
      <c r="D29" s="43">
        <v>1999</v>
      </c>
      <c r="E29" s="37">
        <f t="shared" si="2"/>
        <v>20.863431715857928</v>
      </c>
      <c r="G29">
        <v>3</v>
      </c>
      <c r="H29">
        <v>0</v>
      </c>
    </row>
    <row r="30" spans="1:8" x14ac:dyDescent="0.55000000000000004">
      <c r="A30" s="36">
        <v>2000</v>
      </c>
      <c r="B30" t="s">
        <v>308</v>
      </c>
      <c r="C30" s="42">
        <v>28.375</v>
      </c>
      <c r="D30" s="43">
        <v>1999.1</v>
      </c>
      <c r="E30" s="37">
        <f t="shared" si="2"/>
        <v>14.193887249262168</v>
      </c>
      <c r="G30">
        <v>3</v>
      </c>
      <c r="H30">
        <v>0</v>
      </c>
    </row>
    <row r="31" spans="1:8" x14ac:dyDescent="0.55000000000000004">
      <c r="A31" s="36">
        <v>3000</v>
      </c>
      <c r="B31" t="s">
        <v>71</v>
      </c>
      <c r="C31" s="42">
        <v>70.349000000000004</v>
      </c>
      <c r="D31" s="43">
        <v>2997.7</v>
      </c>
      <c r="E31" s="37">
        <f t="shared" si="2"/>
        <v>23.467658538212632</v>
      </c>
      <c r="F31" s="37">
        <f t="shared" ref="F31:F51" si="3">(C31-C28)/((D31-D28)/1000)</f>
        <v>14.827827827827834</v>
      </c>
      <c r="G31">
        <v>4</v>
      </c>
      <c r="H31">
        <v>0</v>
      </c>
    </row>
    <row r="32" spans="1:8" x14ac:dyDescent="0.55000000000000004">
      <c r="A32" s="36">
        <v>3000</v>
      </c>
      <c r="B32" t="s">
        <v>307</v>
      </c>
      <c r="C32" s="42">
        <v>57.332999999999998</v>
      </c>
      <c r="D32" s="43">
        <v>2999.7</v>
      </c>
      <c r="E32" s="37">
        <f t="shared" si="2"/>
        <v>19.112911291129112</v>
      </c>
      <c r="F32" s="37">
        <f t="shared" si="3"/>
        <v>15.616068751873685</v>
      </c>
      <c r="G32">
        <v>5</v>
      </c>
      <c r="H32">
        <v>0</v>
      </c>
    </row>
    <row r="33" spans="1:8" x14ac:dyDescent="0.55000000000000004">
      <c r="A33" s="36">
        <v>3000</v>
      </c>
      <c r="B33" t="s">
        <v>308</v>
      </c>
      <c r="C33" s="42">
        <v>43.46</v>
      </c>
      <c r="D33" s="43">
        <v>2999.6</v>
      </c>
      <c r="E33" s="37">
        <f t="shared" si="2"/>
        <v>14.488598479797306</v>
      </c>
      <c r="F33" s="37">
        <f t="shared" si="3"/>
        <v>15.077461269365319</v>
      </c>
      <c r="G33">
        <v>1</v>
      </c>
      <c r="H33">
        <v>1</v>
      </c>
    </row>
    <row r="34" spans="1:8" x14ac:dyDescent="0.55000000000000004">
      <c r="A34" s="36">
        <v>4000</v>
      </c>
      <c r="B34" t="s">
        <v>71</v>
      </c>
      <c r="C34" s="42">
        <v>82.463999999999999</v>
      </c>
      <c r="D34" s="43">
        <v>3999</v>
      </c>
      <c r="E34" s="37">
        <f t="shared" si="2"/>
        <v>20.621155288822205</v>
      </c>
      <c r="F34" s="37">
        <f t="shared" si="3"/>
        <v>12.099270947767895</v>
      </c>
      <c r="G34">
        <v>7</v>
      </c>
      <c r="H34">
        <v>0</v>
      </c>
    </row>
    <row r="35" spans="1:8" x14ac:dyDescent="0.55000000000000004">
      <c r="A35" s="36">
        <v>4000</v>
      </c>
      <c r="B35" t="s">
        <v>307</v>
      </c>
      <c r="C35" s="42">
        <v>72.915999999999997</v>
      </c>
      <c r="D35" s="43">
        <v>3999.9</v>
      </c>
      <c r="E35" s="37">
        <f t="shared" si="2"/>
        <v>18.229455736393408</v>
      </c>
      <c r="F35" s="37">
        <f t="shared" si="3"/>
        <v>15.579884023195357</v>
      </c>
      <c r="G35">
        <v>7</v>
      </c>
      <c r="H35">
        <v>0</v>
      </c>
    </row>
    <row r="36" spans="1:8" x14ac:dyDescent="0.55000000000000004">
      <c r="A36" s="36">
        <v>4000</v>
      </c>
      <c r="B36" t="s">
        <v>308</v>
      </c>
      <c r="C36" s="42">
        <v>47.491999999999997</v>
      </c>
      <c r="D36" s="43">
        <v>3999.5</v>
      </c>
      <c r="E36" s="37">
        <f t="shared" si="2"/>
        <v>11.874484310538817</v>
      </c>
      <c r="F36" s="37">
        <f t="shared" si="3"/>
        <v>4.0324032403240286</v>
      </c>
      <c r="G36">
        <v>3</v>
      </c>
      <c r="H36">
        <v>1</v>
      </c>
    </row>
    <row r="37" spans="1:8" x14ac:dyDescent="0.55000000000000004">
      <c r="A37" s="36">
        <v>5000</v>
      </c>
      <c r="B37" t="s">
        <v>71</v>
      </c>
      <c r="C37" s="42">
        <v>90.805999999999997</v>
      </c>
      <c r="D37" s="43">
        <v>4998.2</v>
      </c>
      <c r="E37" s="37">
        <f t="shared" si="2"/>
        <v>18.167740386539155</v>
      </c>
      <c r="F37" s="37">
        <f t="shared" si="3"/>
        <v>8.348678943154523</v>
      </c>
      <c r="G37">
        <v>8</v>
      </c>
      <c r="H37">
        <v>0</v>
      </c>
    </row>
    <row r="38" spans="1:8" x14ac:dyDescent="0.55000000000000004">
      <c r="A38" s="36">
        <v>5000</v>
      </c>
      <c r="B38" t="s">
        <v>307</v>
      </c>
      <c r="C38" s="42">
        <v>86.616</v>
      </c>
      <c r="D38" s="43">
        <v>4998.2</v>
      </c>
      <c r="E38" s="37">
        <f t="shared" si="2"/>
        <v>17.329438597895244</v>
      </c>
      <c r="F38" s="37">
        <f t="shared" si="3"/>
        <v>13.723329660422724</v>
      </c>
      <c r="G38">
        <v>8</v>
      </c>
      <c r="H38">
        <v>0</v>
      </c>
    </row>
    <row r="39" spans="1:8" x14ac:dyDescent="0.55000000000000004">
      <c r="A39" s="36">
        <v>5000</v>
      </c>
      <c r="B39" t="s">
        <v>308</v>
      </c>
      <c r="C39" s="42">
        <v>51.335000000000001</v>
      </c>
      <c r="D39" s="43">
        <v>4999.1000000000004</v>
      </c>
      <c r="E39" s="37">
        <f t="shared" si="2"/>
        <v>10.268848392710687</v>
      </c>
      <c r="F39" s="37">
        <f t="shared" si="3"/>
        <v>3.8445378151260523</v>
      </c>
      <c r="G39">
        <v>5</v>
      </c>
      <c r="H39">
        <v>1</v>
      </c>
    </row>
    <row r="40" spans="1:8" x14ac:dyDescent="0.55000000000000004">
      <c r="A40" s="36">
        <v>5619</v>
      </c>
      <c r="B40" t="s">
        <v>71</v>
      </c>
      <c r="C40" s="42">
        <v>91.573999999999998</v>
      </c>
      <c r="D40" s="43">
        <v>5378.8</v>
      </c>
      <c r="E40" s="37">
        <f t="shared" si="2"/>
        <v>17.024986985944821</v>
      </c>
      <c r="F40" s="37">
        <f t="shared" si="3"/>
        <v>2.0178665265370466</v>
      </c>
      <c r="G40">
        <v>8</v>
      </c>
      <c r="H40">
        <v>0</v>
      </c>
    </row>
    <row r="41" spans="1:8" x14ac:dyDescent="0.55000000000000004">
      <c r="A41" s="36">
        <v>5619</v>
      </c>
      <c r="B41" t="s">
        <v>307</v>
      </c>
      <c r="C41" s="42">
        <v>89.570999999999998</v>
      </c>
      <c r="D41" s="43">
        <v>5616.1</v>
      </c>
      <c r="E41" s="37">
        <f t="shared" si="2"/>
        <v>15.94896814515411</v>
      </c>
      <c r="F41" s="37">
        <f t="shared" si="3"/>
        <v>4.7823272374170509</v>
      </c>
      <c r="G41">
        <v>8</v>
      </c>
      <c r="H41">
        <v>0</v>
      </c>
    </row>
    <row r="42" spans="1:8" x14ac:dyDescent="0.55000000000000004">
      <c r="A42" s="36">
        <v>5619</v>
      </c>
      <c r="B42" t="s">
        <v>308</v>
      </c>
      <c r="C42" s="42">
        <v>53.997999999999998</v>
      </c>
      <c r="D42" s="43">
        <v>5618</v>
      </c>
      <c r="E42" s="37">
        <f t="shared" si="2"/>
        <v>9.6116055535777853</v>
      </c>
      <c r="F42" s="37">
        <f t="shared" si="3"/>
        <v>4.3027952819518474</v>
      </c>
      <c r="G42">
        <v>6</v>
      </c>
      <c r="H42">
        <v>1</v>
      </c>
    </row>
    <row r="43" spans="1:8" x14ac:dyDescent="0.55000000000000004">
      <c r="A43" s="36">
        <v>6000</v>
      </c>
      <c r="B43" t="s">
        <v>71</v>
      </c>
      <c r="C43" s="42">
        <v>91.686000000000007</v>
      </c>
      <c r="D43" s="43">
        <v>5996.3</v>
      </c>
      <c r="E43" s="37">
        <f t="shared" si="2"/>
        <v>15.290429097943735</v>
      </c>
      <c r="F43" s="37">
        <f t="shared" si="3"/>
        <v>0.18137651821863801</v>
      </c>
      <c r="G43">
        <v>8</v>
      </c>
      <c r="H43">
        <v>0</v>
      </c>
    </row>
    <row r="44" spans="1:8" x14ac:dyDescent="0.55000000000000004">
      <c r="A44" s="36">
        <v>6000</v>
      </c>
      <c r="B44" t="s">
        <v>307</v>
      </c>
      <c r="C44" s="42">
        <v>90.347999999999999</v>
      </c>
      <c r="D44" s="43">
        <v>5997.2</v>
      </c>
      <c r="E44" s="37">
        <f t="shared" si="2"/>
        <v>15.065030347495499</v>
      </c>
      <c r="F44" s="37">
        <f t="shared" si="3"/>
        <v>2.0388349514563164</v>
      </c>
      <c r="G44">
        <v>8</v>
      </c>
      <c r="H44">
        <v>0</v>
      </c>
    </row>
    <row r="45" spans="1:8" x14ac:dyDescent="0.55000000000000004">
      <c r="A45" s="36">
        <v>6000</v>
      </c>
      <c r="B45" t="s">
        <v>308</v>
      </c>
      <c r="C45" s="42">
        <v>55.103000000000002</v>
      </c>
      <c r="D45" s="43">
        <v>5999.6</v>
      </c>
      <c r="E45" s="37">
        <f t="shared" si="2"/>
        <v>9.1844456297086481</v>
      </c>
      <c r="F45" s="37">
        <f t="shared" si="3"/>
        <v>2.8957023060796723</v>
      </c>
      <c r="G45">
        <v>6</v>
      </c>
      <c r="H45">
        <v>1</v>
      </c>
    </row>
    <row r="46" spans="1:8" x14ac:dyDescent="0.55000000000000004">
      <c r="A46" s="36">
        <v>7000</v>
      </c>
      <c r="B46" t="s">
        <v>71</v>
      </c>
      <c r="C46" s="42">
        <v>95.212000000000003</v>
      </c>
      <c r="D46" s="43">
        <v>6999.9</v>
      </c>
      <c r="E46" s="37">
        <f t="shared" si="2"/>
        <v>13.601908598694269</v>
      </c>
      <c r="F46" s="37">
        <f t="shared" si="3"/>
        <v>3.5133519330410508</v>
      </c>
      <c r="G46">
        <v>7</v>
      </c>
      <c r="H46">
        <v>1</v>
      </c>
    </row>
    <row r="47" spans="1:8" x14ac:dyDescent="0.55000000000000004">
      <c r="A47" s="36">
        <v>7000</v>
      </c>
      <c r="B47" t="s">
        <v>307</v>
      </c>
      <c r="C47" s="42">
        <v>91.424000000000007</v>
      </c>
      <c r="D47" s="43">
        <v>6999.3</v>
      </c>
      <c r="E47" s="37">
        <f t="shared" si="2"/>
        <v>13.061877616333064</v>
      </c>
      <c r="F47" s="37">
        <f t="shared" si="3"/>
        <v>1.0737451352160534</v>
      </c>
      <c r="G47">
        <v>7</v>
      </c>
      <c r="H47">
        <v>1</v>
      </c>
    </row>
    <row r="48" spans="1:8" x14ac:dyDescent="0.55000000000000004">
      <c r="A48" s="36">
        <v>7000</v>
      </c>
      <c r="B48" t="s">
        <v>308</v>
      </c>
      <c r="C48" s="42">
        <v>58.83</v>
      </c>
      <c r="D48" s="43">
        <v>6997.9</v>
      </c>
      <c r="E48" s="37">
        <f t="shared" si="2"/>
        <v>8.4068077566126984</v>
      </c>
      <c r="F48" s="37">
        <f t="shared" si="3"/>
        <v>3.7333466893719316</v>
      </c>
      <c r="G48">
        <v>8</v>
      </c>
      <c r="H48">
        <v>1</v>
      </c>
    </row>
    <row r="49" spans="1:8" x14ac:dyDescent="0.55000000000000004">
      <c r="A49" s="36">
        <v>8000</v>
      </c>
      <c r="B49" t="s">
        <v>71</v>
      </c>
      <c r="C49" s="42">
        <v>97.322000000000003</v>
      </c>
      <c r="D49" s="43">
        <v>7999.6</v>
      </c>
      <c r="E49" s="37">
        <f t="shared" si="2"/>
        <v>12.165858292914645</v>
      </c>
      <c r="F49" s="37">
        <f t="shared" si="3"/>
        <v>2.1106331899569852</v>
      </c>
      <c r="G49">
        <v>8</v>
      </c>
      <c r="H49">
        <v>1</v>
      </c>
    </row>
    <row r="50" spans="1:8" x14ac:dyDescent="0.55000000000000004">
      <c r="A50" s="36">
        <v>8000</v>
      </c>
      <c r="B50" t="s">
        <v>307</v>
      </c>
      <c r="C50" s="42">
        <v>94.900999999999996</v>
      </c>
      <c r="D50" s="43">
        <v>7999.8</v>
      </c>
      <c r="E50" s="37">
        <f t="shared" si="2"/>
        <v>11.862921573039324</v>
      </c>
      <c r="F50" s="37">
        <f t="shared" si="3"/>
        <v>3.4752623688155819</v>
      </c>
      <c r="G50">
        <v>8</v>
      </c>
      <c r="H50">
        <v>1</v>
      </c>
    </row>
    <row r="51" spans="1:8" x14ac:dyDescent="0.55000000000000004">
      <c r="A51" s="36">
        <v>8000</v>
      </c>
      <c r="B51" t="s">
        <v>308</v>
      </c>
      <c r="C51" s="42">
        <v>58.954999999999998</v>
      </c>
      <c r="D51" s="43">
        <v>7616.6</v>
      </c>
      <c r="E51" s="37">
        <f t="shared" si="2"/>
        <v>7.740330331118872</v>
      </c>
      <c r="F51" s="37">
        <f t="shared" si="3"/>
        <v>0.2020365282042991</v>
      </c>
      <c r="G51">
        <v>8</v>
      </c>
      <c r="H51">
        <v>1</v>
      </c>
    </row>
  </sheetData>
  <mergeCells count="3">
    <mergeCell ref="A26:H26"/>
    <mergeCell ref="A3:H3"/>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7"/>
  <sheetViews>
    <sheetView zoomScaleNormal="100" workbookViewId="0"/>
  </sheetViews>
  <sheetFormatPr defaultColWidth="8.68359375" defaultRowHeight="14.4" x14ac:dyDescent="0.55000000000000004"/>
  <cols>
    <col min="1" max="1" width="14" customWidth="1"/>
    <col min="2" max="2" width="22" customWidth="1"/>
    <col min="3" max="4" width="12" customWidth="1"/>
    <col min="5" max="5" width="11" customWidth="1"/>
    <col min="6" max="6" width="16" customWidth="1"/>
    <col min="7" max="8" width="11" customWidth="1"/>
    <col min="9" max="9" width="9" customWidth="1"/>
    <col min="10" max="10" width="10" customWidth="1"/>
    <col min="11" max="12" width="8" customWidth="1"/>
    <col min="14" max="14" width="42" customWidth="1"/>
  </cols>
  <sheetData>
    <row r="1" spans="1:14" ht="17.25" customHeight="1" x14ac:dyDescent="0.6">
      <c r="A1" s="1" t="s">
        <v>309</v>
      </c>
    </row>
    <row r="2" spans="1:14" ht="15" customHeight="1" x14ac:dyDescent="0.55000000000000004">
      <c r="A2" s="3" t="s">
        <v>310</v>
      </c>
    </row>
    <row r="4" spans="1:14" ht="15" customHeight="1" x14ac:dyDescent="0.55000000000000004">
      <c r="A4" s="6" t="s">
        <v>311</v>
      </c>
      <c r="B4" s="6" t="s">
        <v>32</v>
      </c>
      <c r="C4" s="6" t="s">
        <v>33</v>
      </c>
      <c r="D4" s="6" t="s">
        <v>34</v>
      </c>
      <c r="E4" s="6" t="s">
        <v>35</v>
      </c>
      <c r="F4" s="6" t="s">
        <v>312</v>
      </c>
    </row>
    <row r="5" spans="1:14" ht="15" customHeight="1" x14ac:dyDescent="0.55000000000000004">
      <c r="A5" s="7" t="s">
        <v>71</v>
      </c>
      <c r="B5" s="10">
        <v>40</v>
      </c>
      <c r="C5" s="10">
        <v>30</v>
      </c>
      <c r="D5" s="10">
        <v>10</v>
      </c>
      <c r="E5" s="10">
        <v>50</v>
      </c>
      <c r="F5" s="9" t="s">
        <v>313</v>
      </c>
    </row>
    <row r="6" spans="1:14" ht="15" customHeight="1" x14ac:dyDescent="0.55000000000000004">
      <c r="A6" s="7" t="s">
        <v>307</v>
      </c>
      <c r="B6" s="10">
        <v>15</v>
      </c>
      <c r="C6" s="10">
        <v>80</v>
      </c>
      <c r="D6" s="10">
        <v>20</v>
      </c>
      <c r="E6" s="10">
        <v>60</v>
      </c>
      <c r="F6" s="9" t="s">
        <v>314</v>
      </c>
    </row>
    <row r="7" spans="1:14" ht="15" customHeight="1" x14ac:dyDescent="0.55000000000000004">
      <c r="A7" s="7" t="s">
        <v>308</v>
      </c>
      <c r="B7" s="10">
        <v>10</v>
      </c>
      <c r="C7" s="10">
        <v>30</v>
      </c>
      <c r="D7" s="10">
        <v>10</v>
      </c>
      <c r="E7" s="10">
        <v>300</v>
      </c>
      <c r="F7" s="9" t="s">
        <v>315</v>
      </c>
    </row>
    <row r="10" spans="1:14" ht="15" customHeight="1" x14ac:dyDescent="0.55000000000000004">
      <c r="A10" s="7" t="s">
        <v>316</v>
      </c>
    </row>
    <row r="11" spans="1:14" ht="15" customHeight="1" x14ac:dyDescent="0.55000000000000004">
      <c r="A11" s="3" t="s">
        <v>317</v>
      </c>
    </row>
    <row r="12" spans="1:14" ht="15" customHeight="1" x14ac:dyDescent="0.55000000000000004">
      <c r="A12" s="6" t="s">
        <v>302</v>
      </c>
      <c r="B12" s="6" t="s">
        <v>311</v>
      </c>
      <c r="C12" s="6" t="s">
        <v>318</v>
      </c>
      <c r="D12" s="6" t="s">
        <v>319</v>
      </c>
      <c r="E12" s="6" t="s">
        <v>306</v>
      </c>
      <c r="F12" s="6" t="s">
        <v>305</v>
      </c>
      <c r="G12" s="6" t="s">
        <v>5</v>
      </c>
      <c r="H12" s="6" t="s">
        <v>6</v>
      </c>
      <c r="I12" s="6" t="s">
        <v>7</v>
      </c>
      <c r="J12" s="6" t="s">
        <v>8</v>
      </c>
      <c r="K12" s="6" t="s">
        <v>9</v>
      </c>
      <c r="L12" s="6" t="s">
        <v>10</v>
      </c>
      <c r="M12" s="6" t="s">
        <v>320</v>
      </c>
      <c r="N12" s="6" t="s">
        <v>277</v>
      </c>
    </row>
    <row r="13" spans="1:14" ht="15" customHeight="1" x14ac:dyDescent="0.55000000000000004">
      <c r="A13" s="28">
        <v>8000</v>
      </c>
      <c r="B13" s="9" t="s">
        <v>71</v>
      </c>
      <c r="C13" s="29">
        <v>0.91564768170863131</v>
      </c>
      <c r="D13" s="28">
        <v>5619.2</v>
      </c>
      <c r="E13" s="9">
        <v>0</v>
      </c>
      <c r="F13" s="9">
        <v>8</v>
      </c>
      <c r="G13" s="9">
        <v>0</v>
      </c>
      <c r="H13" s="9">
        <v>576</v>
      </c>
      <c r="I13" s="9">
        <v>0</v>
      </c>
      <c r="J13" s="9">
        <v>0</v>
      </c>
      <c r="K13" s="9">
        <v>0</v>
      </c>
      <c r="L13" s="9">
        <v>0</v>
      </c>
      <c r="M13" s="9">
        <v>16</v>
      </c>
      <c r="N13" s="9" t="s">
        <v>321</v>
      </c>
    </row>
    <row r="14" spans="1:14" ht="15" customHeight="1" x14ac:dyDescent="0.55000000000000004">
      <c r="A14" s="28">
        <v>8000</v>
      </c>
      <c r="B14" s="9" t="s">
        <v>307</v>
      </c>
      <c r="C14" s="29">
        <v>0.8849692885386623</v>
      </c>
      <c r="D14" s="28">
        <v>5619.2</v>
      </c>
      <c r="E14" s="9">
        <v>0</v>
      </c>
      <c r="F14" s="9">
        <v>8</v>
      </c>
      <c r="G14" s="9">
        <v>0</v>
      </c>
      <c r="H14" s="9">
        <v>576</v>
      </c>
      <c r="I14" s="9">
        <v>0</v>
      </c>
      <c r="J14" s="9">
        <v>0</v>
      </c>
      <c r="K14" s="9">
        <v>0</v>
      </c>
      <c r="L14" s="9">
        <v>0</v>
      </c>
      <c r="M14" s="9">
        <v>16</v>
      </c>
      <c r="N14" s="9" t="s">
        <v>321</v>
      </c>
    </row>
    <row r="15" spans="1:14" ht="15" customHeight="1" x14ac:dyDescent="0.55000000000000004">
      <c r="A15" s="28">
        <v>8000</v>
      </c>
      <c r="B15" s="9" t="s">
        <v>308</v>
      </c>
      <c r="C15" s="29">
        <v>0.49000734304430932</v>
      </c>
      <c r="D15" s="28">
        <v>5619.2</v>
      </c>
      <c r="E15" s="9">
        <v>0</v>
      </c>
      <c r="F15" s="9">
        <v>8</v>
      </c>
      <c r="G15" s="9">
        <v>0</v>
      </c>
      <c r="H15" s="9">
        <v>576</v>
      </c>
      <c r="I15" s="9">
        <v>0</v>
      </c>
      <c r="J15" s="9">
        <v>0</v>
      </c>
      <c r="K15" s="9">
        <v>0</v>
      </c>
      <c r="L15" s="9">
        <v>0</v>
      </c>
      <c r="M15" s="9">
        <v>16</v>
      </c>
      <c r="N15" s="9" t="s">
        <v>321</v>
      </c>
    </row>
    <row r="16" spans="1:14" ht="15" customHeight="1" x14ac:dyDescent="0.55000000000000004">
      <c r="A16" s="28">
        <v>8000</v>
      </c>
      <c r="B16" s="9" t="s">
        <v>71</v>
      </c>
      <c r="C16" s="29">
        <v>0.67502195431487111</v>
      </c>
      <c r="D16" s="28">
        <v>4120.5</v>
      </c>
      <c r="E16" s="9">
        <v>1</v>
      </c>
      <c r="F16" s="9">
        <v>0</v>
      </c>
      <c r="G16" s="9">
        <v>0</v>
      </c>
      <c r="H16" s="9">
        <v>0</v>
      </c>
      <c r="I16" s="9">
        <v>48</v>
      </c>
      <c r="J16" s="9">
        <v>46</v>
      </c>
      <c r="K16" s="9">
        <v>0</v>
      </c>
      <c r="L16" s="9">
        <v>50</v>
      </c>
      <c r="M16" s="9">
        <v>0</v>
      </c>
      <c r="N16" s="9" t="s">
        <v>322</v>
      </c>
    </row>
    <row r="17" spans="1:14" ht="15" customHeight="1" x14ac:dyDescent="0.55000000000000004">
      <c r="A17" s="28">
        <v>8000</v>
      </c>
      <c r="B17" s="9" t="s">
        <v>307</v>
      </c>
      <c r="C17" s="29">
        <v>0.53314098651500119</v>
      </c>
      <c r="D17" s="28">
        <v>3138.4</v>
      </c>
      <c r="E17" s="9">
        <v>1</v>
      </c>
      <c r="F17" s="9">
        <v>0</v>
      </c>
      <c r="G17" s="9">
        <v>0</v>
      </c>
      <c r="H17" s="9">
        <v>0</v>
      </c>
      <c r="I17" s="9">
        <v>48</v>
      </c>
      <c r="J17" s="9">
        <v>0</v>
      </c>
      <c r="K17" s="9">
        <v>0</v>
      </c>
      <c r="L17" s="9">
        <v>96</v>
      </c>
      <c r="M17" s="9">
        <v>0</v>
      </c>
      <c r="N17" s="9" t="s">
        <v>322</v>
      </c>
    </row>
    <row r="18" spans="1:14" ht="15" customHeight="1" x14ac:dyDescent="0.55000000000000004">
      <c r="A18" s="28">
        <v>8000</v>
      </c>
      <c r="B18" s="9" t="s">
        <v>308</v>
      </c>
      <c r="C18" s="29">
        <v>0.42504531621732672</v>
      </c>
      <c r="D18" s="28">
        <v>3138.4</v>
      </c>
      <c r="E18" s="9">
        <v>1</v>
      </c>
      <c r="F18" s="9">
        <v>0</v>
      </c>
      <c r="G18" s="9">
        <v>0</v>
      </c>
      <c r="H18" s="9">
        <v>0</v>
      </c>
      <c r="I18" s="9">
        <v>48</v>
      </c>
      <c r="J18" s="9">
        <v>0</v>
      </c>
      <c r="K18" s="9">
        <v>0</v>
      </c>
      <c r="L18" s="9">
        <v>96</v>
      </c>
      <c r="M18" s="9">
        <v>0</v>
      </c>
      <c r="N18" s="9" t="s">
        <v>322</v>
      </c>
    </row>
    <row r="19" spans="1:14" ht="15" customHeight="1" x14ac:dyDescent="0.55000000000000004">
      <c r="A19" s="28">
        <v>8000</v>
      </c>
      <c r="B19" s="9" t="s">
        <v>71</v>
      </c>
      <c r="C19" s="29">
        <v>0.97322318060097501</v>
      </c>
      <c r="D19" s="28">
        <v>7999.6</v>
      </c>
      <c r="E19" s="9">
        <v>1</v>
      </c>
      <c r="F19" s="9">
        <v>8</v>
      </c>
      <c r="G19" s="9">
        <v>322</v>
      </c>
      <c r="H19" s="9">
        <v>257</v>
      </c>
      <c r="I19" s="9">
        <v>0</v>
      </c>
      <c r="J19" s="9">
        <v>0</v>
      </c>
      <c r="K19" s="9">
        <v>0</v>
      </c>
      <c r="L19" s="9">
        <v>96</v>
      </c>
      <c r="M19" s="9">
        <v>16</v>
      </c>
      <c r="N19" s="9" t="s">
        <v>323</v>
      </c>
    </row>
    <row r="20" spans="1:14" ht="15" customHeight="1" x14ac:dyDescent="0.55000000000000004">
      <c r="A20" s="28">
        <v>8000</v>
      </c>
      <c r="B20" s="9" t="s">
        <v>307</v>
      </c>
      <c r="C20" s="29">
        <v>0.94901427402312877</v>
      </c>
      <c r="D20" s="28">
        <v>7999.8</v>
      </c>
      <c r="E20" s="9">
        <v>1</v>
      </c>
      <c r="F20" s="9">
        <v>8</v>
      </c>
      <c r="G20" s="9">
        <v>615</v>
      </c>
      <c r="H20" s="9">
        <v>0</v>
      </c>
      <c r="I20" s="9">
        <v>0</v>
      </c>
      <c r="J20" s="9">
        <v>0</v>
      </c>
      <c r="K20" s="9">
        <v>1</v>
      </c>
      <c r="L20" s="9">
        <v>95</v>
      </c>
      <c r="M20" s="9">
        <v>16</v>
      </c>
      <c r="N20" s="9" t="s">
        <v>323</v>
      </c>
    </row>
    <row r="21" spans="1:14" ht="15" customHeight="1" x14ac:dyDescent="0.55000000000000004">
      <c r="A21" s="28">
        <v>8000</v>
      </c>
      <c r="B21" s="9" t="s">
        <v>308</v>
      </c>
      <c r="C21" s="29">
        <v>0.58955297540037233</v>
      </c>
      <c r="D21" s="28">
        <v>7616.6</v>
      </c>
      <c r="E21" s="9">
        <v>1</v>
      </c>
      <c r="F21" s="9">
        <v>8</v>
      </c>
      <c r="G21" s="9">
        <v>98</v>
      </c>
      <c r="H21" s="9">
        <v>218</v>
      </c>
      <c r="I21" s="9">
        <v>48</v>
      </c>
      <c r="J21" s="9">
        <v>0</v>
      </c>
      <c r="K21" s="9">
        <v>0</v>
      </c>
      <c r="L21" s="9">
        <v>96</v>
      </c>
      <c r="M21" s="9">
        <v>16</v>
      </c>
      <c r="N21" s="9" t="s">
        <v>323</v>
      </c>
    </row>
    <row r="22" spans="1:14" ht="15" customHeight="1" x14ac:dyDescent="0.55000000000000004">
      <c r="A22" s="28"/>
      <c r="B22" s="9"/>
      <c r="C22" s="29"/>
      <c r="D22" s="28"/>
      <c r="E22" s="9"/>
      <c r="F22" s="9"/>
      <c r="G22" s="9"/>
      <c r="H22" s="9"/>
      <c r="I22" s="9"/>
      <c r="J22" s="9"/>
      <c r="K22" s="9"/>
      <c r="L22" s="9"/>
      <c r="M22" s="9"/>
    </row>
    <row r="24" spans="1:14" ht="15" customHeight="1" x14ac:dyDescent="0.55000000000000004">
      <c r="A24" s="3" t="s">
        <v>324</v>
      </c>
    </row>
    <row r="26" spans="1:14" ht="15" customHeight="1" x14ac:dyDescent="0.55000000000000004">
      <c r="A26" s="7" t="s">
        <v>325</v>
      </c>
    </row>
    <row r="27" spans="1:14" ht="15" customHeight="1" x14ac:dyDescent="0.55000000000000004">
      <c r="A27" s="6" t="s">
        <v>302</v>
      </c>
      <c r="B27" s="6" t="s">
        <v>311</v>
      </c>
      <c r="C27" s="6" t="s">
        <v>50</v>
      </c>
      <c r="D27" s="6" t="s">
        <v>318</v>
      </c>
      <c r="E27" s="6" t="s">
        <v>319</v>
      </c>
      <c r="F27" s="6" t="s">
        <v>326</v>
      </c>
      <c r="G27" s="6" t="s">
        <v>327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6"/>
  <sheetViews>
    <sheetView zoomScaleNormal="100" workbookViewId="0"/>
  </sheetViews>
  <sheetFormatPr defaultColWidth="8.68359375" defaultRowHeight="14.4" x14ac:dyDescent="0.55000000000000004"/>
  <cols>
    <col min="1" max="1" width="18" customWidth="1"/>
    <col min="2" max="2" width="150" customWidth="1"/>
  </cols>
  <sheetData>
    <row r="1" spans="1:2" ht="17.25" customHeight="1" x14ac:dyDescent="0.6">
      <c r="A1" s="1" t="s">
        <v>328</v>
      </c>
    </row>
    <row r="3" spans="1:2" ht="15" customHeight="1" x14ac:dyDescent="0.55000000000000004">
      <c r="A3" s="7" t="s">
        <v>329</v>
      </c>
      <c r="B3" s="9" t="s">
        <v>330</v>
      </c>
    </row>
    <row r="4" spans="1:2" ht="15" customHeight="1" x14ac:dyDescent="0.55000000000000004">
      <c r="A4" s="7" t="s">
        <v>331</v>
      </c>
      <c r="B4" s="9" t="s">
        <v>332</v>
      </c>
    </row>
    <row r="5" spans="1:2" ht="15" customHeight="1" x14ac:dyDescent="0.55000000000000004">
      <c r="A5" s="7" t="s">
        <v>333</v>
      </c>
      <c r="B5" s="9" t="s">
        <v>334</v>
      </c>
    </row>
    <row r="6" spans="1:2" ht="15" customHeight="1" x14ac:dyDescent="0.55000000000000004">
      <c r="A6" s="7" t="s">
        <v>335</v>
      </c>
      <c r="B6" s="9" t="s">
        <v>336</v>
      </c>
    </row>
    <row r="7" spans="1:2" ht="15" customHeight="1" x14ac:dyDescent="0.55000000000000004">
      <c r="A7" s="7" t="s">
        <v>337</v>
      </c>
      <c r="B7" s="9" t="s">
        <v>338</v>
      </c>
    </row>
    <row r="8" spans="1:2" ht="15" customHeight="1" x14ac:dyDescent="0.55000000000000004">
      <c r="A8" s="7" t="s">
        <v>339</v>
      </c>
      <c r="B8" s="9" t="s">
        <v>340</v>
      </c>
    </row>
    <row r="9" spans="1:2" ht="15" customHeight="1" x14ac:dyDescent="0.55000000000000004">
      <c r="A9" s="7" t="s">
        <v>341</v>
      </c>
      <c r="B9" s="9" t="s">
        <v>342</v>
      </c>
    </row>
    <row r="10" spans="1:2" ht="15" customHeight="1" x14ac:dyDescent="0.55000000000000004">
      <c r="A10" s="7" t="s">
        <v>343</v>
      </c>
      <c r="B10" s="9" t="s">
        <v>344</v>
      </c>
    </row>
    <row r="11" spans="1:2" ht="15" customHeight="1" x14ac:dyDescent="0.55000000000000004">
      <c r="A11" s="7" t="s">
        <v>345</v>
      </c>
      <c r="B11" s="9" t="s">
        <v>346</v>
      </c>
    </row>
    <row r="12" spans="1:2" ht="15" customHeight="1" x14ac:dyDescent="0.55000000000000004">
      <c r="A12" s="7" t="s">
        <v>347</v>
      </c>
      <c r="B12" s="9" t="s">
        <v>348</v>
      </c>
    </row>
    <row r="13" spans="1:2" ht="15" customHeight="1" x14ac:dyDescent="0.55000000000000004">
      <c r="A13" s="7" t="s">
        <v>349</v>
      </c>
      <c r="B13" s="9" t="s">
        <v>350</v>
      </c>
    </row>
    <row r="14" spans="1:2" ht="15" customHeight="1" x14ac:dyDescent="0.55000000000000004">
      <c r="A14" s="7" t="s">
        <v>351</v>
      </c>
      <c r="B14" s="9" t="s">
        <v>352</v>
      </c>
    </row>
    <row r="15" spans="1:2" ht="15" customHeight="1" x14ac:dyDescent="0.55000000000000004">
      <c r="A15" s="7" t="s">
        <v>353</v>
      </c>
      <c r="B15" s="9" t="s">
        <v>354</v>
      </c>
    </row>
    <row r="16" spans="1:2" ht="15" customHeight="1" x14ac:dyDescent="0.55000000000000004">
      <c r="A16" s="7"/>
      <c r="B16" s="9"/>
    </row>
    <row r="17" spans="1:2" ht="15" customHeight="1" x14ac:dyDescent="0.55000000000000004">
      <c r="A17" s="7" t="s">
        <v>355</v>
      </c>
      <c r="B17" s="9" t="s">
        <v>356</v>
      </c>
    </row>
    <row r="18" spans="1:2" ht="15" customHeight="1" x14ac:dyDescent="0.55000000000000004">
      <c r="A18" s="7" t="s">
        <v>357</v>
      </c>
      <c r="B18" s="9" t="s">
        <v>358</v>
      </c>
    </row>
    <row r="19" spans="1:2" ht="15" customHeight="1" x14ac:dyDescent="0.55000000000000004">
      <c r="A19" s="7" t="s">
        <v>359</v>
      </c>
      <c r="B19" s="9" t="s">
        <v>360</v>
      </c>
    </row>
    <row r="20" spans="1:2" ht="15" customHeight="1" x14ac:dyDescent="0.55000000000000004">
      <c r="A20" s="7" t="s">
        <v>361</v>
      </c>
      <c r="B20" s="9" t="s">
        <v>362</v>
      </c>
    </row>
    <row r="21" spans="1:2" x14ac:dyDescent="0.55000000000000004">
      <c r="A21" s="7" t="s">
        <v>363</v>
      </c>
      <c r="B21" s="9" t="s">
        <v>364</v>
      </c>
    </row>
    <row r="22" spans="1:2" x14ac:dyDescent="0.55000000000000004">
      <c r="A22" s="7" t="s">
        <v>365</v>
      </c>
      <c r="B22" s="9" t="s">
        <v>366</v>
      </c>
    </row>
    <row r="23" spans="1:2" x14ac:dyDescent="0.55000000000000004">
      <c r="A23" s="7" t="s">
        <v>367</v>
      </c>
      <c r="B23" s="9" t="s">
        <v>368</v>
      </c>
    </row>
    <row r="24" spans="1:2" x14ac:dyDescent="0.55000000000000004">
      <c r="A24" s="7" t="s">
        <v>369</v>
      </c>
      <c r="B24" s="9" t="s">
        <v>370</v>
      </c>
    </row>
    <row r="25" spans="1:2" x14ac:dyDescent="0.55000000000000004">
      <c r="A25" s="7" t="s">
        <v>371</v>
      </c>
      <c r="B25" s="9" t="s">
        <v>372</v>
      </c>
    </row>
    <row r="26" spans="1:2" x14ac:dyDescent="0.55000000000000004">
      <c r="A26" s="7" t="s">
        <v>373</v>
      </c>
      <c r="B26" s="9" t="s">
        <v>374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133</vt:i4>
      </vt:variant>
    </vt:vector>
  </HeadingPairs>
  <TitlesOfParts>
    <vt:vector size="137" baseType="lpstr">
      <vt:lpstr>Model</vt:lpstr>
      <vt:lpstr>Table 2</vt:lpstr>
      <vt:lpstr>Scenarios</vt:lpstr>
      <vt:lpstr>Solver Model</vt:lpstr>
      <vt:lpstr>ACTIVE_RAID</vt:lpstr>
      <vt:lpstr>AEGIS_ALLOWED</vt:lpstr>
      <vt:lpstr>AEGIS_CELL_SLACK</vt:lpstr>
      <vt:lpstr>AEGIS_CELLS_USED</vt:lpstr>
      <vt:lpstr>AEGIS_SITES</vt:lpstr>
      <vt:lpstr>ALL_VALID</vt:lpstr>
      <vt:lpstr>ALLOWED</vt:lpstr>
      <vt:lpstr>ALLOWED_NOW</vt:lpstr>
      <vt:lpstr>BUDGET</vt:lpstr>
      <vt:lpstr>BUILD_AEGIS</vt:lpstr>
      <vt:lpstr>BUILD_THAAD</vt:lpstr>
      <vt:lpstr>CAP</vt:lpstr>
      <vt:lpstr>CAP_SLACK</vt:lpstr>
      <vt:lpstr>COVERED_FRACTION</vt:lpstr>
      <vt:lpstr>D</vt:lpstr>
      <vt:lpstr>D_COVERED</vt:lpstr>
      <vt:lpstr>D_UNCOVERED</vt:lpstr>
      <vt:lpstr>EFF_COVERED</vt:lpstr>
      <vt:lpstr>EFF_UNCOVERED</vt:lpstr>
      <vt:lpstr>FLOOR</vt:lpstr>
      <vt:lpstr>INTERCEPTOR_SPEND</vt:lpstr>
      <vt:lpstr>KRATE</vt:lpstr>
      <vt:lpstr>MIN_REQUIRED</vt:lpstr>
      <vt:lpstr>MK41_CELLS</vt:lpstr>
      <vt:lpstr>MSE_CAP</vt:lpstr>
      <vt:lpstr>MSE_FULL_SLACK</vt:lpstr>
      <vt:lpstr>MSE_PK_ABT</vt:lpstr>
      <vt:lpstr>MSE_PK_BM</vt:lpstr>
      <vt:lpstr>MSE_PK_CM</vt:lpstr>
      <vt:lpstr>MSE_PK_UAS</vt:lpstr>
      <vt:lpstr>MSE_PRICE</vt:lpstr>
      <vt:lpstr>MSE_Q</vt:lpstr>
      <vt:lpstr>MSE_SYSTEM</vt:lpstr>
      <vt:lpstr>OPTION</vt:lpstr>
      <vt:lpstr>PAC3_CAP</vt:lpstr>
      <vt:lpstr>PAC3_PK_ABT</vt:lpstr>
      <vt:lpstr>PAC3_PK_BM</vt:lpstr>
      <vt:lpstr>PAC3_PK_CM</vt:lpstr>
      <vt:lpstr>PAC3_PK_UAS</vt:lpstr>
      <vt:lpstr>PAC3_PRICE</vt:lpstr>
      <vt:lpstr>PAC3_Q</vt:lpstr>
      <vt:lpstr>PAC3_SYSTEM</vt:lpstr>
      <vt:lpstr>PATRIOT_BATTERIES</vt:lpstr>
      <vt:lpstr>PATRIOT_LAUNCHERS</vt:lpstr>
      <vt:lpstr>PATRIOT_LAUNCHERS_USED</vt:lpstr>
      <vt:lpstr>PATRIOT_MAX</vt:lpstr>
      <vt:lpstr>PATRIOT_MAX_NOW</vt:lpstr>
      <vt:lpstr>PATRIOT_MIN</vt:lpstr>
      <vt:lpstr>PATRIOT_SITES_COVERED</vt:lpstr>
      <vt:lpstr>PATRIOT_SLACK</vt:lpstr>
      <vt:lpstr>PK_ABT</vt:lpstr>
      <vt:lpstr>PK_BM</vt:lpstr>
      <vt:lpstr>PK_CM</vt:lpstr>
      <vt:lpstr>PK_UAS</vt:lpstr>
      <vt:lpstr>PRICE</vt:lpstr>
      <vt:lpstr>PROTECTION</vt:lpstr>
      <vt:lpstr>Q_TOTAL</vt:lpstr>
      <vt:lpstr>QC</vt:lpstr>
      <vt:lpstr>QC_SLACK</vt:lpstr>
      <vt:lpstr>QU</vt:lpstr>
      <vt:lpstr>R_ABT</vt:lpstr>
      <vt:lpstr>R_BM</vt:lpstr>
      <vt:lpstr>R_CM</vt:lpstr>
      <vt:lpstr>R_COVERED</vt:lpstr>
      <vt:lpstr>R_UAS</vt:lpstr>
      <vt:lpstr>R_UNCOVERED</vt:lpstr>
      <vt:lpstr>RAID_SIZE</vt:lpstr>
      <vt:lpstr>SITES</vt:lpstr>
      <vt:lpstr>SITES_PER_PATRIOT</vt:lpstr>
      <vt:lpstr>SM2_CAP</vt:lpstr>
      <vt:lpstr>SM2_PK_ABT</vt:lpstr>
      <vt:lpstr>SM2_PK_BM</vt:lpstr>
      <vt:lpstr>SM2_PK_CM</vt:lpstr>
      <vt:lpstr>SM2_PK_UAS</vt:lpstr>
      <vt:lpstr>SM2_PRICE</vt:lpstr>
      <vt:lpstr>SM2_Q</vt:lpstr>
      <vt:lpstr>SM2_SYSTEM</vt:lpstr>
      <vt:lpstr>SM3_CAP</vt:lpstr>
      <vt:lpstr>SM3_PK_ABT</vt:lpstr>
      <vt:lpstr>SM3_PK_BM</vt:lpstr>
      <vt:lpstr>SM3_PK_CM</vt:lpstr>
      <vt:lpstr>SM3_PK_UAS</vt:lpstr>
      <vt:lpstr>SM3_PRICE</vt:lpstr>
      <vt:lpstr>SM3_Q</vt:lpstr>
      <vt:lpstr>SM3_SYSTEM</vt:lpstr>
      <vt:lpstr>SM6_CAP</vt:lpstr>
      <vt:lpstr>SM6_PK_ABT</vt:lpstr>
      <vt:lpstr>SM6_PK_BM</vt:lpstr>
      <vt:lpstr>SM6_PK_CM</vt:lpstr>
      <vt:lpstr>SM6_PK_UAS</vt:lpstr>
      <vt:lpstr>SM6_PRICE</vt:lpstr>
      <vt:lpstr>SM6_Q</vt:lpstr>
      <vt:lpstr>SM6_SYSTEM</vt:lpstr>
      <vt:lpstr>Model!solver_adj</vt:lpstr>
      <vt:lpstr>Model!solver_lhs11</vt:lpstr>
      <vt:lpstr>Model!solver_lhs12</vt:lpstr>
      <vt:lpstr>Model!solver_lhs13</vt:lpstr>
      <vt:lpstr>Model!solver_lhs14</vt:lpstr>
      <vt:lpstr>Model!solver_lhs15</vt:lpstr>
      <vt:lpstr>Model!solver_lhs16</vt:lpstr>
      <vt:lpstr>Model!solver_lhs17</vt:lpstr>
      <vt:lpstr>Model!solver_lhs18</vt:lpstr>
      <vt:lpstr>Model!solver_lhs19</vt:lpstr>
      <vt:lpstr>Model!solver_lhs20</vt:lpstr>
      <vt:lpstr>Model!solver_lhs3</vt:lpstr>
      <vt:lpstr>Model!solver_rhs15</vt:lpstr>
      <vt:lpstr>Model!solver_rhs18</vt:lpstr>
      <vt:lpstr>Model!solver_rhs19</vt:lpstr>
      <vt:lpstr>SPEND_FLOOR</vt:lpstr>
      <vt:lpstr>SYS_COST_AEGIS</vt:lpstr>
      <vt:lpstr>SYS_COST_PATRIOT</vt:lpstr>
      <vt:lpstr>SYS_COST_THAAD</vt:lpstr>
      <vt:lpstr>SYSTEM</vt:lpstr>
      <vt:lpstr>SYSTEM_SPEND</vt:lpstr>
      <vt:lpstr>THAAD_CAP</vt:lpstr>
      <vt:lpstr>THAAD_PK_ABT</vt:lpstr>
      <vt:lpstr>THAAD_PK_BM</vt:lpstr>
      <vt:lpstr>THAAD_PK_CM</vt:lpstr>
      <vt:lpstr>THAAD_PK_UAS</vt:lpstr>
      <vt:lpstr>THAAD_PRICE</vt:lpstr>
      <vt:lpstr>THAAD_Q</vt:lpstr>
      <vt:lpstr>THAAD_SITES</vt:lpstr>
      <vt:lpstr>THAAD_SLACK</vt:lpstr>
      <vt:lpstr>THAAD_SYSTEM</vt:lpstr>
      <vt:lpstr>TOTAL_SPEND</vt:lpstr>
      <vt:lpstr>UNCOVERED_SITES</vt:lpstr>
      <vt:lpstr>UNSPENT</vt:lpstr>
      <vt:lpstr>USE_MIN</vt:lpstr>
      <vt:lpstr>W</vt:lpstr>
      <vt:lpstr>W_ABT</vt:lpstr>
      <vt:lpstr>W_BM</vt:lpstr>
      <vt:lpstr>W_CM</vt:lpstr>
      <vt:lpstr>W_UAS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Richie Gaas</cp:lastModifiedBy>
  <cp:revision>0</cp:revision>
  <dcterms:created xsi:type="dcterms:W3CDTF">2026-10-02T06:21:10Z</dcterms:created>
  <dcterms:modified xsi:type="dcterms:W3CDTF">2026-10-11T06:17:01Z</dcterms:modified>
  <dc:language>en-US</dc:language>
</cp:coreProperties>
</file>