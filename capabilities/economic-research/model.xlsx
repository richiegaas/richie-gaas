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Override PartName="/xl/comments1.xml" ContentType="application/vnd.openxmlformats-officedocument.spreadsheetml.comments+xml"/>
  <Override PartName="/xl/drawings/vmlDrawing1.vml" ContentType="application/vnd.openxmlformats-officedocument.vmlDrawing"/>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Model" sheetId="1" state="visible" r:id="rId3"/>
    <sheet name="Scenarios" sheetId="2" state="visible" r:id="rId4"/>
    <sheet name="Solver Model" sheetId="3" state="visible" r:id="rId5"/>
  </sheets>
  <definedNames>
    <definedName function="false" hidden="false" name="ACTIVE_RAID" vbProcedure="false">Model!$B$31</definedName>
    <definedName function="false" hidden="false" name="AEGIS_CELLS_USED" vbProcedure="false">Model!$B$60</definedName>
    <definedName function="false" hidden="false" name="AEGIS_CELL_SLACK" vbProcedure="false">Model!$B$61</definedName>
    <definedName function="false" hidden="false" name="ALL_VALID" vbProcedure="false">Model!$B$89</definedName>
    <definedName function="false" hidden="false" name="BUDGET" vbProcedure="false">Model!$B$23</definedName>
    <definedName function="false" hidden="false" name="BUILD_AEGIS" vbProcedure="false">Model!$B$41</definedName>
    <definedName function="false" hidden="false" name="BUILD_PATRIOT" vbProcedure="false">Model!$C$41</definedName>
    <definedName function="false" hidden="false" name="BUILD_THAAD" vbProcedure="false">Model!$D$41</definedName>
    <definedName function="false" hidden="false" name="CAP" vbProcedure="false">Model!$B$13:$G$13</definedName>
    <definedName function="false" hidden="false" name="CAP_SLACK" vbProcedure="false">Model!$B$67:$G$67</definedName>
    <definedName function="false" hidden="false" name="D" vbProcedure="false">Model!$B$50:$E$50</definedName>
    <definedName function="false" hidden="false" name="FLOOR" vbProcedure="false">Model!$B$18:$E$18</definedName>
    <definedName function="false" hidden="false" name="INTERCEPTOR_SPEND" vbProcedure="false">Model!$B$55</definedName>
    <definedName function="false" hidden="false" name="MIN_REQUIRED" vbProcedure="false">Model!$B$52:$E$52</definedName>
    <definedName function="false" hidden="false" name="MK41_CELLS" vbProcedure="false">Model!$B$28</definedName>
    <definedName function="false" hidden="false" name="MSE_CAP" vbProcedure="false">Model!$C$13</definedName>
    <definedName function="false" hidden="false" name="MSE_PK_ABT" vbProcedure="false">Model!$C$11</definedName>
    <definedName function="false" hidden="false" name="MSE_PK_BM" vbProcedure="false">Model!$C$9</definedName>
    <definedName function="false" hidden="false" name="MSE_PK_CM" vbProcedure="false">Model!$C$10</definedName>
    <definedName function="false" hidden="false" name="MSE_PK_UAS" vbProcedure="false">Model!$C$12</definedName>
    <definedName function="false" hidden="false" name="MSE_PRICE" vbProcedure="false">Model!$C$7</definedName>
    <definedName function="false" hidden="false" name="MSE_Q" vbProcedure="false">Model!$C$45</definedName>
    <definedName function="false" hidden="false" name="MSE_SYSTEM" vbProcedure="false">Model!$C$8</definedName>
    <definedName function="false" hidden="false" name="PAC3_CAP" vbProcedure="false">Model!$B$13</definedName>
    <definedName function="false" hidden="false" name="PAC3_PK_ABT" vbProcedure="false">Model!$B$11</definedName>
    <definedName function="false" hidden="false" name="PAC3_PK_BM" vbProcedure="false">Model!$B$9</definedName>
    <definedName function="false" hidden="false" name="PAC3_PK_CM" vbProcedure="false">Model!$B$10</definedName>
    <definedName function="false" hidden="false" name="PAC3_PK_UAS" vbProcedure="false">Model!$B$12</definedName>
    <definedName function="false" hidden="false" name="PAC3_PRICE" vbProcedure="false">Model!$B$7</definedName>
    <definedName function="false" hidden="false" name="PAC3_Q" vbProcedure="false">Model!$B$45</definedName>
    <definedName function="false" hidden="false" name="PAC3_SYSTEM" vbProcedure="false">Model!$B$8</definedName>
    <definedName function="false" hidden="false" name="PATRIOT_LAUNCHERS" vbProcedure="false">Model!$B$29</definedName>
    <definedName function="false" hidden="false" name="PATRIOT_LAUNCHERS_USED" vbProcedure="false">Model!$B$62</definedName>
    <definedName function="false" hidden="false" name="PATRIOT_SLACK" vbProcedure="false">Model!$B$63</definedName>
    <definedName function="false" hidden="false" name="PK_ABT" vbProcedure="false">Model!$B$11:$G$11</definedName>
    <definedName function="false" hidden="false" name="PK_BM" vbProcedure="false">Model!$B$9:$G$9</definedName>
    <definedName function="false" hidden="false" name="PK_CM" vbProcedure="false">Model!$B$10:$G$10</definedName>
    <definedName function="false" hidden="false" name="PK_UAS" vbProcedure="false">Model!$B$12:$G$12</definedName>
    <definedName function="false" hidden="false" name="PRICE" vbProcedure="false">Model!$B$7:$G$7</definedName>
    <definedName function="false" hidden="false" name="PROTECTION" vbProcedure="false">Model!$B$65</definedName>
    <definedName function="false" hidden="false" name="Q" vbProcedure="false">Model!$B$35:$G$38</definedName>
    <definedName function="false" hidden="false" name="Q_TOTAL" vbProcedure="false">Model!$B$45:$G$45</definedName>
    <definedName function="false" hidden="false" name="R" vbProcedure="false">Model!$B$19:$E$19</definedName>
    <definedName function="false" hidden="false" name="R_ABT" vbProcedure="false">Model!$D$19</definedName>
    <definedName function="false" hidden="false" name="R_BM" vbProcedure="false">Model!$B$19</definedName>
    <definedName function="false" hidden="false" name="R_CM" vbProcedure="false">Model!$C$19</definedName>
    <definedName function="false" hidden="false" name="R_UAS" vbProcedure="false">Model!$E$19</definedName>
    <definedName function="false" hidden="false" name="SM2_CAP" vbProcedure="false">Model!$F$13</definedName>
    <definedName function="false" hidden="false" name="SM2_PK_ABT" vbProcedure="false">Model!$F$11</definedName>
    <definedName function="false" hidden="false" name="SM2_PK_BM" vbProcedure="false">Model!$F$9</definedName>
    <definedName function="false" hidden="false" name="SM2_PK_CM" vbProcedure="false">Model!$F$10</definedName>
    <definedName function="false" hidden="false" name="SM2_PK_UAS" vbProcedure="false">Model!$F$12</definedName>
    <definedName function="false" hidden="false" name="SM2_PRICE" vbProcedure="false">Model!$F$7</definedName>
    <definedName function="false" hidden="false" name="SM2_Q" vbProcedure="false">Model!$F$45</definedName>
    <definedName function="false" hidden="false" name="SM2_SYSTEM" vbProcedure="false">Model!$F$8</definedName>
    <definedName function="false" hidden="false" name="SM3_CAP" vbProcedure="false">Model!$E$13</definedName>
    <definedName function="false" hidden="false" name="SM3_PK_ABT" vbProcedure="false">Model!$E$11</definedName>
    <definedName function="false" hidden="false" name="SM3_PK_BM" vbProcedure="false">Model!$E$9</definedName>
    <definedName function="false" hidden="false" name="SM3_PK_CM" vbProcedure="false">Model!$E$10</definedName>
    <definedName function="false" hidden="false" name="SM3_PK_UAS" vbProcedure="false">Model!$E$12</definedName>
    <definedName function="false" hidden="false" name="SM3_PRICE" vbProcedure="false">Model!$E$7</definedName>
    <definedName function="false" hidden="false" name="SM3_Q" vbProcedure="false">Model!$E$45</definedName>
    <definedName function="false" hidden="false" name="SM3_SYSTEM" vbProcedure="false">Model!$E$8</definedName>
    <definedName function="false" hidden="false" name="SM6_CAP" vbProcedure="false">Model!$G$13</definedName>
    <definedName function="false" hidden="false" name="SM6_PK_ABT" vbProcedure="false">Model!$G$11</definedName>
    <definedName function="false" hidden="false" name="SM6_PK_BM" vbProcedure="false">Model!$G$9</definedName>
    <definedName function="false" hidden="false" name="SM6_PK_CM" vbProcedure="false">Model!$G$10</definedName>
    <definedName function="false" hidden="false" name="SM6_PK_UAS" vbProcedure="false">Model!$G$12</definedName>
    <definedName function="false" hidden="false" name="SM6_PRICE" vbProcedure="false">Model!$G$7</definedName>
    <definedName function="false" hidden="false" name="SM6_Q" vbProcedure="false">Model!$G$45</definedName>
    <definedName function="false" hidden="false" name="SM6_SYSTEM" vbProcedure="false">Model!$G$8</definedName>
    <definedName function="false" hidden="false" name="SPEND_FLOOR" vbProcedure="false">Model!$B$58</definedName>
    <definedName function="false" hidden="false" name="SYSTEM" vbProcedure="false">Model!$B$8:$G$8</definedName>
    <definedName function="false" hidden="false" name="SYSTEM_SPEND" vbProcedure="false">Model!$B$56</definedName>
    <definedName function="false" hidden="false" name="SYS_COST_AEGIS" vbProcedure="false">Model!$B$25</definedName>
    <definedName function="false" hidden="false" name="SYS_COST_PATRIOT" vbProcedure="false">Model!$B$26</definedName>
    <definedName function="false" hidden="false" name="SYS_COST_THAAD" vbProcedure="false">Model!$B$27</definedName>
    <definedName function="false" hidden="false" name="THAAD_CAP" vbProcedure="false">Model!$B$30</definedName>
    <definedName function="false" hidden="false" name="THAAD_PK_ABT" vbProcedure="false">Model!$D$11</definedName>
    <definedName function="false" hidden="false" name="THAAD_PK_BM" vbProcedure="false">Model!$D$9</definedName>
    <definedName function="false" hidden="false" name="THAAD_PK_CM" vbProcedure="false">Model!$D$10</definedName>
    <definedName function="false" hidden="false" name="THAAD_PK_UAS" vbProcedure="false">Model!$D$12</definedName>
    <definedName function="false" hidden="false" name="THAAD_PRICE" vbProcedure="false">Model!$D$7</definedName>
    <definedName function="false" hidden="false" name="THAAD_Q" vbProcedure="false">Model!$D$45</definedName>
    <definedName function="false" hidden="false" name="THAAD_SLACK" vbProcedure="false">Model!$B$64</definedName>
    <definedName function="false" hidden="false" name="THAAD_SYSTEM" vbProcedure="false">Model!$D$8</definedName>
    <definedName function="false" hidden="false" name="TOTAL_SPEND" vbProcedure="false">Model!$B$57</definedName>
    <definedName function="false" hidden="false" name="UNSPENT" vbProcedure="false">Model!$B$59</definedName>
    <definedName function="false" hidden="false" name="USE_MIN" vbProcedure="false">Model!$B$24</definedName>
    <definedName function="false" hidden="false" name="W" vbProcedure="false">Model!$B$17:$E$17</definedName>
    <definedName function="false" hidden="false" name="W_ABT" vbProcedure="false">Model!$D$17</definedName>
    <definedName function="false" hidden="false" name="W_BM" vbProcedure="false">Model!$B$17</definedName>
    <definedName function="false" hidden="false" name="W_CM" vbProcedure="false">Model!$C$17</definedName>
    <definedName function="false" hidden="false" name="W_UAS" vbProcedure="false">Model!$E$17</definedName>
    <definedName function="false" hidden="true" localSheetId="0" name="solver_adj" vbProcedure="false">Model!$B$35:$G$38,Model!$B$41:$C$41</definedName>
    <definedName function="false" hidden="true" localSheetId="0" name="solver_cvg" vbProcedure="false">0.0001</definedName>
    <definedName function="false" hidden="true" localSheetId="0" name="solver_drv" vbProcedure="false">1</definedName>
    <definedName function="false" hidden="true" localSheetId="0" name="solver_eng" vbProcedure="false">1</definedName>
    <definedName function="false" hidden="true" localSheetId="0" name="solver_est" vbProcedure="false">1</definedName>
    <definedName function="false" hidden="true" localSheetId="0" name="solver_itr" vbProcedure="false">2147483647</definedName>
    <definedName function="false" hidden="true" localSheetId="0" name="solver_lhs1" vbProcedure="false">Model!$B$35:$G$38</definedName>
    <definedName function="false" hidden="true" localSheetId="0" name="solver_lhs10" vbProcedure="false">Model!$B$50:$E$50</definedName>
    <definedName function="false" hidden="true" localSheetId="0" name="solver_lhs2" vbProcedure="false">Model!$B$35:$G$38</definedName>
    <definedName function="false" hidden="true" localSheetId="0" name="solver_lhs3" vbProcedure="false">Model!$B$41:$C$41</definedName>
    <definedName function="false" hidden="true" localSheetId="0" name="solver_lhs4" vbProcedure="false">Model!$B$57</definedName>
    <definedName function="false" hidden="true" localSheetId="0" name="solver_lhs5" vbProcedure="false">Model!$B$57</definedName>
    <definedName function="false" hidden="true" localSheetId="0" name="solver_lhs6" vbProcedure="false">Model!$B$61</definedName>
    <definedName function="false" hidden="true" localSheetId="0" name="solver_lhs7" vbProcedure="false">Model!$B$63</definedName>
    <definedName function="false" hidden="true" localSheetId="0" name="solver_lhs8" vbProcedure="false">Model!$B$64</definedName>
    <definedName function="false" hidden="true" localSheetId="0" name="solver_lhs9" vbProcedure="false">Model!$B$67:$G$67</definedName>
    <definedName function="false" hidden="true" localSheetId="0" name="solver_lin" vbProcedure="false">2</definedName>
    <definedName function="false" hidden="true" localSheetId="0" name="solver_mip" vbProcedure="false">2147483647</definedName>
    <definedName function="false" hidden="true" localSheetId="0" name="solver_msl" vbProcedure="false">1</definedName>
    <definedName function="false" hidden="true" localSheetId="0" name="solver_neg" vbProcedure="false">1</definedName>
    <definedName function="false" hidden="true" localSheetId="0" name="solver_nod" vbProcedure="false">2147483647</definedName>
    <definedName function="false" hidden="true" localSheetId="0" name="solver_num" vbProcedure="false">10</definedName>
    <definedName function="false" hidden="true" localSheetId="0" name="solver_opt" vbProcedure="false">Model!$B$65</definedName>
    <definedName function="false" hidden="true" localSheetId="0" name="solver_pre" vbProcedure="false">0.000001</definedName>
    <definedName function="false" hidden="true" localSheetId="0" name="solver_rbv" vbProcedure="false">1</definedName>
    <definedName function="false" hidden="true" localSheetId="0" name="solver_rel1" vbProcedure="false">4</definedName>
    <definedName function="false" hidden="true" localSheetId="0" name="solver_rel10" vbProcedure="false">3</definedName>
    <definedName function="false" hidden="true" localSheetId="0" name="solver_rel2" vbProcedure="false">3</definedName>
    <definedName function="false" hidden="true" localSheetId="0" name="solver_rel3" vbProcedure="false">5</definedName>
    <definedName function="false" hidden="true" localSheetId="0" name="solver_rel4" vbProcedure="false">1</definedName>
    <definedName function="false" hidden="true" localSheetId="0" name="solver_rel5" vbProcedure="false">3</definedName>
    <definedName function="false" hidden="true" localSheetId="0" name="solver_rel6" vbProcedure="false">3</definedName>
    <definedName function="false" hidden="true" localSheetId="0" name="solver_rel7" vbProcedure="false">3</definedName>
    <definedName function="false" hidden="true" localSheetId="0" name="solver_rel8" vbProcedure="false">3</definedName>
    <definedName function="false" hidden="true" localSheetId="0" name="solver_rel9" vbProcedure="false">3</definedName>
    <definedName function="false" hidden="true" localSheetId="0" name="solver_rhs1" vbProcedure="false">"integer"</definedName>
    <definedName function="false" hidden="true" localSheetId="0" name="solver_rhs10" vbProcedure="false">Model!$B$52:$E$52</definedName>
    <definedName function="false" hidden="true" localSheetId="0" name="solver_rhs2" vbProcedure="false">0</definedName>
    <definedName function="false" hidden="true" localSheetId="0" name="solver_rhs3" vbProcedure="false">"binary"</definedName>
    <definedName function="false" hidden="true" localSheetId="0" name="solver_rhs4" vbProcedure="false">Model!$B$23</definedName>
    <definedName function="false" hidden="true" localSheetId="0" name="solver_rhs5" vbProcedure="false">Model!$B$58</definedName>
    <definedName function="false" hidden="true" localSheetId="0" name="solver_rhs6" vbProcedure="false">0</definedName>
    <definedName function="false" hidden="true" localSheetId="0" name="solver_rhs7" vbProcedure="false">0</definedName>
    <definedName function="false" hidden="true" localSheetId="0" name="solver_rhs8" vbProcedure="false">0</definedName>
    <definedName function="false" hidden="true" localSheetId="0" name="solver_rhs9" vbProcedure="false">0</definedName>
    <definedName function="false" hidden="true" localSheetId="0" name="solver_rlx" vbProcedure="false">2</definedName>
    <definedName function="false" hidden="true" localSheetId="0" name="solver_rsd" vbProcedure="false">0</definedName>
    <definedName function="false" hidden="true" localSheetId="0" name="solver_scl" vbProcedure="false">1</definedName>
    <definedName function="false" hidden="true" localSheetId="0" name="solver_sho" vbProcedure="false">2</definedName>
    <definedName function="false" hidden="true" localSheetId="0" name="solver_ssz" vbProcedure="false">100</definedName>
    <definedName function="false" hidden="true" localSheetId="0" name="solver_tim" vbProcedure="false">2147483647</definedName>
    <definedName function="false" hidden="true" localSheetId="0" name="solver_tol" vbProcedure="false">0</definedName>
    <definedName function="false" hidden="true" localSheetId="0" name="solver_typ" vbProcedure="false">1</definedName>
    <definedName function="false" hidden="true" localSheetId="0" name="solver_val" vbProcedure="false">0</definedName>
    <definedName function="false" hidden="true" localSheetId="0" name="solver_ver" vbProcedure="false">3</definedName>
  </definedNames>
  <calcPr iterateCount="100" refMode="A1" iterate="false" iterateDelta="0.0001"/>
  <extLst>
    <ext xmlns:loext="http://schemas.libreoffice.org/" uri="{7626C862-2A13-11E5-B345-FEFF819CDC9F}">
      <loext:extCalcPr stringRefSyntax="ExcelA1"/>
    </ext>
  </extLst>
</workbook>
</file>

<file path=xl/comments1.xml><?xml version="1.0" encoding="utf-8"?>
<comments xmlns="http://schemas.openxmlformats.org/spreadsheetml/2006/main" xmlns:xdr="http://schemas.openxmlformats.org/drawingml/2006/spreadsheetDrawing">
  <authors>
    <author>Unknown Author</author>
  </authors>
  <commentList>
    <comment ref="B7" authorId="0">
      <text>
        <r>
          <rPr>
            <sz val="10"/>
            <rFont val="Arial"/>
            <family val="2"/>
          </rPr>
          <t xml:space="preserve">Draft range $3-4M (Norsk Luftvern). Verify: Army missile procurement justification book.</t>
        </r>
      </text>
    </comment>
    <comment ref="D41" authorId="0">
      <text>
        <r>
          <rPr>
            <sz val="10"/>
            <rFont val="Arial"/>
            <family val="2"/>
          </rPr>
          <t xml:space="preserve">Existing battery on Guam: fixed at 1 (not a decision).</t>
        </r>
      </text>
    </comment>
    <comment ref="E7" authorId="0">
      <text>
        <r>
          <rPr>
            <sz val="10"/>
            <rFont val="Arial"/>
            <family val="2"/>
          </rPr>
          <t xml:space="preserve">Draft range $28-36M for SM-3 Block IIA; Block IB is $12-15M. Choose the variant Guam will field.</t>
        </r>
      </text>
    </comment>
  </commentList>
</comments>
</file>

<file path=xl/sharedStrings.xml><?xml version="1.0" encoding="utf-8"?>
<sst xmlns="http://schemas.openxmlformats.org/spreadsheetml/2006/main" count="334" uniqueCount="229">
  <si>
    <t xml:space="preserve">Guam interceptor loadout - economic research model (ILLUSTRATIVE build 2026-10-02)</t>
  </si>
  <si>
    <t xml:space="preserve">Built from capabilities/economic-research/spec.md. Blue = input (all DRAFT placeholders until sourced). Yellow = decision cell (Solver changes these). Black = formula. Money in USD millions ($M).</t>
  </si>
  <si>
    <t xml:space="preserve">HOW TO USE: replace blue inputs with sourced figures, pick ACTIVE_RAID and BUDGET, then Data &gt; Solver &gt; Solve (the Solver setup is saved in this sheet).</t>
  </si>
  <si>
    <t xml:space="preserve">INPUTS - per interceptor (DRAFT: secondary-source ranges and placeholder assumptions)</t>
  </si>
  <si>
    <t xml:space="preserve">Name</t>
  </si>
  <si>
    <t xml:space="preserve">PAC-3 CRI</t>
  </si>
  <si>
    <t xml:space="preserve">PAC-3 MSE</t>
  </si>
  <si>
    <t xml:space="preserve">THAAD</t>
  </si>
  <si>
    <t xml:space="preserve">SM-3 IIA</t>
  </si>
  <si>
    <t xml:space="preserve">SM-2</t>
  </si>
  <si>
    <t xml:space="preserve">SM-6</t>
  </si>
  <si>
    <t xml:space="preserve">Unit</t>
  </si>
  <si>
    <t xml:space="preserve">Source / status</t>
  </si>
  <si>
    <t xml:space="preserve">PRICE</t>
  </si>
  <si>
    <t xml:space="preserve">$M per interceptor</t>
  </si>
  <si>
    <t xml:space="preserve">Draft midpoints: Norsk Luftvern cost database (PAC-3, MSE, THAAD, SM-3 IIA); CSIS Feb 2024 (SM-2 ~ $2M); Wikipedia RIM-174 FY2021 avg (SM-6). Replace with budget-book unit costs.</t>
  </si>
  <si>
    <t xml:space="preserve">SYSTEM</t>
  </si>
  <si>
    <t xml:space="preserve">PATRIOT</t>
  </si>
  <si>
    <t xml:space="preserve">AEGIS</t>
  </si>
  <si>
    <t xml:space="preserve">text</t>
  </si>
  <si>
    <t xml:space="preserve">Which launcher system each interceptor needs</t>
  </si>
  <si>
    <t xml:space="preserve">PK_BM</t>
  </si>
  <si>
    <t xml:space="preserve">single-shot kill prob.</t>
  </si>
  <si>
    <t xml:space="preserve">PLACEHOLDER assumption (classified values out of scope). 0 = cannot engage.</t>
  </si>
  <si>
    <t xml:space="preserve">PK_CM</t>
  </si>
  <si>
    <t xml:space="preserve">PLACEHOLDER assumption. ARM (anti-radiation missiles) folded into CM.</t>
  </si>
  <si>
    <t xml:space="preserve">PK_ABT</t>
  </si>
  <si>
    <t xml:space="preserve">PLACEHOLDER assumption. RW (helicopters) folded into ABT.</t>
  </si>
  <si>
    <t xml:space="preserve">PK_UAS</t>
  </si>
  <si>
    <t xml:space="preserve">PLACEHOLDER assumption.</t>
  </si>
  <si>
    <t xml:space="preserve">CAP</t>
  </si>
  <si>
    <t xml:space="preserve">interceptors through FY2032</t>
  </si>
  <si>
    <t xml:space="preserve">PLACEHOLDER (set non-binding). Replace with production rate x years.</t>
  </si>
  <si>
    <t xml:space="preserve">INPUTS - per threat class</t>
  </si>
  <si>
    <t xml:space="preserve">BM</t>
  </si>
  <si>
    <t xml:space="preserve">CM</t>
  </si>
  <si>
    <t xml:space="preserve">ABT</t>
  </si>
  <si>
    <t xml:space="preserve">UAS</t>
  </si>
  <si>
    <t xml:space="preserve">W</t>
  </si>
  <si>
    <t xml:space="preserve">damage weight (index)</t>
  </si>
  <si>
    <t xml:space="preserve">PLACEHOLDER judgment: relative damage of one leaked threat. Vary in sensitivity runs.</t>
  </si>
  <si>
    <t xml:space="preserve">FLOOR</t>
  </si>
  <si>
    <t xml:space="preserve">share of class defeated</t>
  </si>
  <si>
    <t xml:space="preserve">Policy choice: minimum share of each class that must be defeated (0 = no floor).</t>
  </si>
  <si>
    <t xml:space="preserve">R (active raid)</t>
  </si>
  <si>
    <t xml:space="preserve">threats in raid</t>
  </si>
  <si>
    <t xml:space="preserve">Pulled from the Scenarios sheet for ACTIVE_RAID.</t>
  </si>
  <si>
    <t xml:space="preserve">INPUTS - the named contract (scalars)</t>
  </si>
  <si>
    <t xml:space="preserve">Value</t>
  </si>
  <si>
    <t xml:space="preserve">BUDGET</t>
  </si>
  <si>
    <t xml:space="preserve">$M</t>
  </si>
  <si>
    <t xml:space="preserve">PLACEHOLDER. Interceptor + launcher-system share of the ~$8B Guam program (Arms Control Assn, Oct 2025) is not yet sourced. Pull from MDA budget books.</t>
  </si>
  <si>
    <t xml:space="preserve">USE_MIN</t>
  </si>
  <si>
    <t xml:space="preserve">fraction of BUDGET</t>
  </si>
  <si>
    <t xml:space="preserve">0 = spend only what buys protection; 0.98 = "use the whole budget" run (spec: two runs).</t>
  </si>
  <si>
    <t xml:space="preserve">SYS_COST_AEGIS</t>
  </si>
  <si>
    <t xml:space="preserve">$M, one system</t>
  </si>
  <si>
    <t xml:space="preserve">Draft: ~$1.9B reported for Aegis Guam (Army Recognition 2026). Verify against MDA books.</t>
  </si>
  <si>
    <t xml:space="preserve">SYS_COST_PATRIOT</t>
  </si>
  <si>
    <t xml:space="preserve">$M, one battery</t>
  </si>
  <si>
    <t xml:space="preserve">Draft: ~$1.09B per battery, FY2022 (Wikipedia, MIM-104 Patriot).</t>
  </si>
  <si>
    <t xml:space="preserve">SYS_COST_THAAD</t>
  </si>
  <si>
    <t xml:space="preserve">THAAD battery already deployed on Guam since 2013: a sunk cost, so 0 here. Only new interceptors cost money.</t>
  </si>
  <si>
    <t xml:space="preserve">MK41_CELLS</t>
  </si>
  <si>
    <t xml:space="preserve">launcher cells</t>
  </si>
  <si>
    <t xml:space="preserve">PLACEHOLDER. Aegis Guam Mk 41 cell count not yet sourced. Shared by SM-2, SM-3, SM-6.</t>
  </si>
  <si>
    <t xml:space="preserve">PATRIOT_LAUNCHERS</t>
  </si>
  <si>
    <t xml:space="preserve">M903 launchers</t>
  </si>
  <si>
    <t xml:space="preserve">Nominal battery of 6 launchers; each holds 16 PAC-3 CRI or 12 PAC-3 MSE (Wikipedia, MIM-104 Patriot).</t>
  </si>
  <si>
    <t xml:space="preserve">THAAD_CAP</t>
  </si>
  <si>
    <t xml:space="preserve">interceptors</t>
  </si>
  <si>
    <t xml:space="preserve">Battery of 6 launchers x 8 (user input). Assumes one load for the existing battery.</t>
  </si>
  <si>
    <t xml:space="preserve">ACTIVE_RAID</t>
  </si>
  <si>
    <t xml:space="preserve">A ballistic-heavy</t>
  </si>
  <si>
    <t xml:space="preserve">scenario name</t>
  </si>
  <si>
    <t xml:space="preserve">Pick a row name from the Scenarios sheet.</t>
  </si>
  <si>
    <t xml:space="preserve">DECISION VARIABLES - integers; Solver 'By Changing Variable Cells'</t>
  </si>
  <si>
    <t xml:space="preserve">Q (interceptors assigned)</t>
  </si>
  <si>
    <t xml:space="preserve">Constraint</t>
  </si>
  <si>
    <t xml:space="preserve">Q_BM</t>
  </si>
  <si>
    <t xml:space="preserve">integer &gt;= 0; assigning a type to a class where its PK = 0 buys nothing</t>
  </si>
  <si>
    <t xml:space="preserve">Q_CM</t>
  </si>
  <si>
    <t xml:space="preserve">Q_ABT</t>
  </si>
  <si>
    <t xml:space="preserve">Q_UAS</t>
  </si>
  <si>
    <t xml:space="preserve">BUILD (1 = buy system)</t>
  </si>
  <si>
    <t xml:space="preserve">BUILD</t>
  </si>
  <si>
    <t xml:space="preserve">0 or 1</t>
  </si>
  <si>
    <t xml:space="preserve">binary; a system cost is paid once, and its interceptors need it (fixed cost vs. marginal cost)</t>
  </si>
  <si>
    <t xml:space="preserve">CALCULATIONS - totals, protection, spending</t>
  </si>
  <si>
    <t xml:space="preserve">Formula (named-range form)</t>
  </si>
  <si>
    <t xml:space="preserve">Q_TOTAL</t>
  </si>
  <si>
    <t xml:space="preserve">Q_i = SUM over classes of Q_ij</t>
  </si>
  <si>
    <t xml:space="preserve">SPEND_BY_TYPE</t>
  </si>
  <si>
    <t xml:space="preserve">PRICE_i x Q_i</t>
  </si>
  <si>
    <t xml:space="preserve">Total</t>
  </si>
  <si>
    <t xml:space="preserve">EFF_SHOTS</t>
  </si>
  <si>
    <t xml:space="preserve">expected kills if unsaturated</t>
  </si>
  <si>
    <t xml:space="preserve">EFF_j = SUMPRODUCT(PK_j, Q_j)</t>
  </si>
  <si>
    <t xml:space="preserve">D (defeated)</t>
  </si>
  <si>
    <t xml:space="preserve">threats</t>
  </si>
  <si>
    <t xml:space="preserve">D_j = R_j x (1 - EXP(-EFF_j / R_j))  [diminishing returns as defense saturates]</t>
  </si>
  <si>
    <t xml:space="preserve">SHARE_DEFEATED</t>
  </si>
  <si>
    <t xml:space="preserve">%</t>
  </si>
  <si>
    <t xml:space="preserve">D_j / R_j</t>
  </si>
  <si>
    <t xml:space="preserve">MIN_REQUIRED</t>
  </si>
  <si>
    <t xml:space="preserve">FLOOR_j x R_j  (Solver: D &gt;= MIN_REQUIRED)</t>
  </si>
  <si>
    <t xml:space="preserve">INTERCEPTOR_SPEND</t>
  </si>
  <si>
    <t xml:space="preserve">SUM of PRICE_i x Q_i</t>
  </si>
  <si>
    <t xml:space="preserve">SYSTEM_SPEND</t>
  </si>
  <si>
    <t xml:space="preserve">one-time system costs, each counted once</t>
  </si>
  <si>
    <t xml:space="preserve">TOTAL_SPEND</t>
  </si>
  <si>
    <t xml:space="preserve">Solver: TOTAL_SPEND &lt;= BUDGET and &gt;= SPEND_FLOOR</t>
  </si>
  <si>
    <t xml:space="preserve">SPEND_FLOOR</t>
  </si>
  <si>
    <t xml:space="preserve">USE_MIN x BUDGET</t>
  </si>
  <si>
    <t xml:space="preserve">UNSPENT</t>
  </si>
  <si>
    <t xml:space="preserve">money left on the table</t>
  </si>
  <si>
    <t xml:space="preserve">AEGIS_CELLS_USED</t>
  </si>
  <si>
    <t xml:space="preserve">cells</t>
  </si>
  <si>
    <t xml:space="preserve">SM-2 + SM-3 + SM-6 share Mk 41 cells</t>
  </si>
  <si>
    <t xml:space="preserve">AEGIS_CELL_SLACK</t>
  </si>
  <si>
    <t xml:space="preserve">Solver: &gt;= 0</t>
  </si>
  <si>
    <t xml:space="preserve">PATRIOT_LAUNCHERS_USED</t>
  </si>
  <si>
    <t xml:space="preserve">launchers</t>
  </si>
  <si>
    <t xml:space="preserve">16 CRI or 12 MSE per launcher</t>
  </si>
  <si>
    <t xml:space="preserve">PATRIOT_SLACK</t>
  </si>
  <si>
    <t xml:space="preserve">THAAD_SLACK</t>
  </si>
  <si>
    <t xml:space="preserve">PROTECTION</t>
  </si>
  <si>
    <t xml:space="preserve">% of weighted threat defeated</t>
  </si>
  <si>
    <t xml:space="preserve">OBJECTIVE (Solver maximizes): SUM W_j D_j / SUM W_j R_j</t>
  </si>
  <si>
    <t xml:space="preserve">CAP_SLACK</t>
  </si>
  <si>
    <t xml:space="preserve">CAP_i - Q_i  (Solver: &gt;= 0)</t>
  </si>
  <si>
    <t xml:space="preserve">EQUIMARGINAL CHECK - extra weighted protection from ONE more interceptor, per $M (build audit)</t>
  </si>
  <si>
    <t xml:space="preserve">MPD (per $M)</t>
  </si>
  <si>
    <t xml:space="preserve">Formula</t>
  </si>
  <si>
    <t xml:space="preserve">MPD_BM</t>
  </si>
  <si>
    <t xml:space="preserve">weighted threats per $M</t>
  </si>
  <si>
    <t xml:space="preserve">W_j x [D_j(EFF_j + PK_ij) - D_j] / PRICE_i</t>
  </si>
  <si>
    <t xml:space="preserve">MPD_CM</t>
  </si>
  <si>
    <t xml:space="preserve">MPD_ABT</t>
  </si>
  <si>
    <t xml:space="preserve">MPD_UAS</t>
  </si>
  <si>
    <t xml:space="preserve">Read: at the optimum, the interceptors in use show similar MPD values (the equimarginal principle), unless a launcher or cell limit binds - then compare protection per CELL instead, as with the 64-bed cap in the marginal-analysis model.</t>
  </si>
  <si>
    <t xml:space="preserve">VALIDATION RULES - each TRUE/FALSE; rolled up into ALL_VALID</t>
  </si>
  <si>
    <t xml:space="preserve">Rule</t>
  </si>
  <si>
    <t xml:space="preserve">Result</t>
  </si>
  <si>
    <t xml:space="preserve">Catches</t>
  </si>
  <si>
    <t xml:space="preserve">TOTAL_SPEND &lt;= BUDGET</t>
  </si>
  <si>
    <t xml:space="preserve">overspending the budget</t>
  </si>
  <si>
    <t xml:space="preserve">TOTAL_SPEND &gt;= SPEND_FLOOR</t>
  </si>
  <si>
    <t xml:space="preserve">under-using the budget in the "use the whole budget" run</t>
  </si>
  <si>
    <t xml:space="preserve">Aegis cells not exceeded</t>
  </si>
  <si>
    <t xml:space="preserve">more SM-2/3/6 than Mk 41 cells (or SMs with no Aegis system)</t>
  </si>
  <si>
    <t xml:space="preserve">Patriot launchers not exceeded</t>
  </si>
  <si>
    <t xml:space="preserve">more PAC-3 than launchers hold (or PAC-3 with no Patriot battery)</t>
  </si>
  <si>
    <t xml:space="preserve">THAAD load not exceeded</t>
  </si>
  <si>
    <t xml:space="preserve">more THAAD than the battery holds</t>
  </si>
  <si>
    <t xml:space="preserve">Production caps respected</t>
  </si>
  <si>
    <t xml:space="preserve">buying more than factories can make by FY2032</t>
  </si>
  <si>
    <t xml:space="preserve">Coverage floors met</t>
  </si>
  <si>
    <t xml:space="preserve">abandoning a threat class below its floor</t>
  </si>
  <si>
    <t xml:space="preserve">No wasted assignments (PK = 0)</t>
  </si>
  <si>
    <t xml:space="preserve">interceptors assigned to a class they cannot engage</t>
  </si>
  <si>
    <t xml:space="preserve">Decision cells are whole numbers</t>
  </si>
  <si>
    <t xml:space="preserve">fractional interceptors left by Solver tolerance</t>
  </si>
  <si>
    <t xml:space="preserve">ALL_VALID</t>
  </si>
  <si>
    <t xml:space="preserve">HAND CHECK (build audit) - formula vs. hand math, independent of the decision cells</t>
  </si>
  <si>
    <t xml:space="preserve">Claim</t>
  </si>
  <si>
    <t xml:space="preserve">Formula result</t>
  </si>
  <si>
    <t xml:space="preserve">Hand math</t>
  </si>
  <si>
    <t xml:space="preserve">Match?</t>
  </si>
  <si>
    <t xml:space="preserve">20 threats, 10 shots at PK 0.7 (EFF = 7): D = 20 x (1 - e^-0.35) = 5.906</t>
  </si>
  <si>
    <t xml:space="preserve">Adding one more PK-0.7 shot (EFF 7.7) raises D to 6.391</t>
  </si>
  <si>
    <t xml:space="preserve">Patriot: 96 CRI fill exactly 6 launchers (96/16)</t>
  </si>
  <si>
    <t xml:space="preserve">Patriot: 72 MSE fill exactly 6 launchers (72/12)</t>
  </si>
  <si>
    <t xml:space="preserve">Raid scenarios and results log</t>
  </si>
  <si>
    <t xml:space="preserve">Raid sizes are PLACEHOLDERS. Spec: hold attacker spending constant and change only the split, so cheaper threats appear as larger raids.</t>
  </si>
  <si>
    <t xml:space="preserve">Scenario</t>
  </si>
  <si>
    <t xml:space="preserve">Note</t>
  </si>
  <si>
    <t xml:space="preserve">mostly medium/intermediate-range ballistic missiles</t>
  </si>
  <si>
    <t xml:space="preserve">B cruise-heavy</t>
  </si>
  <si>
    <t xml:space="preserve">mostly cruise missiles and aircraft</t>
  </si>
  <si>
    <t xml:space="preserve">C drone saturation</t>
  </si>
  <si>
    <t xml:space="preserve">mostly cheap one-way attack drones</t>
  </si>
  <si>
    <t xml:space="preserve">REFERENCE RESULTS - independent check (Python integer optimizer, same illustrative inputs, USE_MIN = 0)</t>
  </si>
  <si>
    <t xml:space="preserve">Hardcoded values from an external solver, for checking Excel Solver only. Solver should reach the same PROTECTION within ~0.5 points; if it is lower, re-solve from a different starting point (GRG can stop at a local optimum).</t>
  </si>
  <si>
    <t xml:space="preserve">Budget ($M)</t>
  </si>
  <si>
    <t xml:space="preserve">Protection</t>
  </si>
  <si>
    <t xml:space="preserve">Spent ($M)</t>
  </si>
  <si>
    <t xml:space="preserve">Aegis built</t>
  </si>
  <si>
    <t xml:space="preserve">Patriot built</t>
  </si>
  <si>
    <t xml:space="preserve">A ballistic-heavy (USE_MIN 0.98)</t>
  </si>
  <si>
    <t xml:space="preserve">Source: scipy.optimize.milp run by Claude on 2026-10-02 with the Model sheet inputs as built (tangent-line approximation of D, protection re-evaluated exactly). Illustrative only.</t>
  </si>
  <si>
    <t xml:space="preserve">MY SOLVER RUNS - record each Excel Solver result here</t>
  </si>
  <si>
    <t xml:space="preserve">Matches reference?</t>
  </si>
  <si>
    <t xml:space="preserve">Notes</t>
  </si>
  <si>
    <t xml:space="preserve">Solver setup (saved in the Model sheet; open Data &gt; Solver to see it)</t>
  </si>
  <si>
    <t xml:space="preserve">Objective</t>
  </si>
  <si>
    <t xml:space="preserve">Maximize PROTECTION (Model!B65): weighted share of threats defeated, SUM W_j D_j / SUM W_j R_j</t>
  </si>
  <si>
    <t xml:space="preserve">By changing</t>
  </si>
  <si>
    <t xml:space="preserve">Q grid Model!B35:G38 (interceptors assigned to each threat class) and BUILD Model!B41:C41 (buy Aegis Guam / Patriot battery). THAAD build is fixed at 1: the battery is already on Guam.</t>
  </si>
  <si>
    <t xml:space="preserve">Engine</t>
  </si>
  <si>
    <t xml:space="preserve">GRG Nonlinear (the objective uses EXP, so Simplex LP cannot be used), with Multistart on. Integer optimality tolerance 0%.</t>
  </si>
  <si>
    <t xml:space="preserve">Constraint 1</t>
  </si>
  <si>
    <t xml:space="preserve">Q grid = integer</t>
  </si>
  <si>
    <t xml:space="preserve">Constraint 2</t>
  </si>
  <si>
    <t xml:space="preserve">Q grid &gt;= 0</t>
  </si>
  <si>
    <t xml:space="preserve">Constraint 3</t>
  </si>
  <si>
    <t xml:space="preserve">BUILD_AEGIS, BUILD_PATRIOT = binary</t>
  </si>
  <si>
    <t xml:space="preserve">Constraint 4</t>
  </si>
  <si>
    <t xml:space="preserve">TOTAL_SPEND (B57) &lt;= BUDGET (B23)</t>
  </si>
  <si>
    <t xml:space="preserve">Constraint 5</t>
  </si>
  <si>
    <t xml:space="preserve">TOTAL_SPEND (B57) &gt;= SPEND_FLOOR (B58) = USE_MIN x BUDGET</t>
  </si>
  <si>
    <t xml:space="preserve">Constraint 6</t>
  </si>
  <si>
    <t xml:space="preserve">AEGIS_CELL_SLACK (B61) &gt;= 0  - shared Mk 41 cells, and no Standard Missiles without Aegis</t>
  </si>
  <si>
    <t xml:space="preserve">Constraint 7</t>
  </si>
  <si>
    <t xml:space="preserve">PATRIOT_SLACK (B63) &gt;= 0  - launcher space, and no PAC-3 without a Patriot battery</t>
  </si>
  <si>
    <t xml:space="preserve">Constraint 8</t>
  </si>
  <si>
    <t xml:space="preserve">THAAD_SLACK (B64) &gt;= 0</t>
  </si>
  <si>
    <t xml:space="preserve">Constraint 9</t>
  </si>
  <si>
    <t xml:space="preserve">CAP_SLACK (B67:G67) &gt;= 0  - production through FY2032</t>
  </si>
  <si>
    <t xml:space="preserve">Constraint 10</t>
  </si>
  <si>
    <t xml:space="preserve">D (B50:E50) &gt;= MIN_REQUIRED (B52:E52)  - coverage floors</t>
  </si>
  <si>
    <t xml:space="preserve">Build audit</t>
  </si>
  <si>
    <t xml:space="preserve">1) Hand check rows (Model, rows 93-96) all TRUE.  2) ALL_VALID (B89) TRUE after every solve.  3) Solve from two starting points (the seeded solution, and all zeros) and compare.  4) Compare PROTECTION with the reference results on the Scenarios sheet.  5) Equimarginal check: interceptors in use should show similar MPD values (rows 71-74) unless a cell or launcher limit binds.</t>
  </si>
  <si>
    <t xml:space="preserve">Starting point</t>
  </si>
  <si>
    <t xml:space="preserve">The decision cells are seeded with the reference solution for scenario A at $4,000M, so the sheet opens in a solved state.</t>
  </si>
  <si>
    <t xml:space="preserve">Run plan (spec)</t>
  </si>
  <si>
    <t xml:space="preserve">For each scenario A, B, C: solve at BUDGET = 2,000 / 4,000 / 6,000 with USE_MIN = 0; then the "use the whole budget" run with USE_MIN = 0.98; record results on the Scenarios sheet.</t>
  </si>
  <si>
    <t xml:space="preserve">Known limits</t>
  </si>
  <si>
    <t xml:space="preserve">Inputs are placeholders. Kill probabilities and raid sizes are assumptions, not data. GRG on an integer problem can stop at a local optimum - that is why the external reference results exist.</t>
  </si>
</sst>
</file>

<file path=xl/styles.xml><?xml version="1.0" encoding="utf-8"?>
<styleSheet xmlns="http://schemas.openxmlformats.org/spreadsheetml/2006/main">
  <numFmts count="13">
    <numFmt numFmtId="164" formatCode="General"/>
    <numFmt numFmtId="165" formatCode="\$#,##0.00"/>
    <numFmt numFmtId="166" formatCode="0.00"/>
    <numFmt numFmtId="167" formatCode="0%"/>
    <numFmt numFmtId="168" formatCode="General"/>
    <numFmt numFmtId="169" formatCode="\$#,##0"/>
    <numFmt numFmtId="170" formatCode="#,##0"/>
    <numFmt numFmtId="171" formatCode="@"/>
    <numFmt numFmtId="172" formatCode="0"/>
    <numFmt numFmtId="173" formatCode="\$#,##0.0"/>
    <numFmt numFmtId="174" formatCode="#,##0.00"/>
    <numFmt numFmtId="175" formatCode="0.0%"/>
    <numFmt numFmtId="176" formatCode="0.000"/>
  </numFmts>
  <fonts count="13">
    <font>
      <sz val="11"/>
      <color theme="1"/>
      <name val="Calibri"/>
      <family val="2"/>
      <charset val="1"/>
    </font>
    <font>
      <sz val="10"/>
      <name val="Arial"/>
      <family val="0"/>
    </font>
    <font>
      <sz val="10"/>
      <name val="Arial"/>
      <family val="0"/>
    </font>
    <font>
      <sz val="10"/>
      <name val="Arial"/>
      <family val="0"/>
    </font>
    <font>
      <b val="true"/>
      <sz val="14"/>
      <name val="Arial"/>
      <family val="0"/>
      <charset val="1"/>
    </font>
    <font>
      <sz val="11"/>
      <color theme="1"/>
      <name val="Arial"/>
      <family val="0"/>
      <charset val="1"/>
    </font>
    <font>
      <i val="true"/>
      <sz val="11"/>
      <name val="Arial"/>
      <family val="0"/>
      <charset val="1"/>
    </font>
    <font>
      <b val="true"/>
      <sz val="11"/>
      <color rgb="FFFFFFFF"/>
      <name val="Arial"/>
      <family val="0"/>
      <charset val="1"/>
    </font>
    <font>
      <b val="true"/>
      <sz val="11"/>
      <name val="Arial"/>
      <family val="0"/>
      <charset val="1"/>
    </font>
    <font>
      <sz val="11"/>
      <color rgb="FF0000FF"/>
      <name val="Arial"/>
      <family val="0"/>
      <charset val="1"/>
    </font>
    <font>
      <sz val="11"/>
      <name val="Arial"/>
      <family val="0"/>
      <charset val="1"/>
    </font>
    <font>
      <sz val="11"/>
      <color rgb="FF008000"/>
      <name val="Arial"/>
      <family val="0"/>
      <charset val="1"/>
    </font>
    <font>
      <sz val="10"/>
      <name val="Arial"/>
      <family val="2"/>
    </font>
  </fonts>
  <fills count="7">
    <fill>
      <patternFill patternType="none"/>
    </fill>
    <fill>
      <patternFill patternType="gray125"/>
    </fill>
    <fill>
      <patternFill patternType="solid">
        <fgColor rgb="FF1F3864"/>
        <bgColor rgb="FF333333"/>
      </patternFill>
    </fill>
    <fill>
      <patternFill patternType="solid">
        <fgColor rgb="FFD9E1F2"/>
        <bgColor rgb="FFE2EFDA"/>
      </patternFill>
    </fill>
    <fill>
      <patternFill patternType="solid">
        <fgColor rgb="FFFFF2CC"/>
        <bgColor rgb="FFE2EFDA"/>
      </patternFill>
    </fill>
    <fill>
      <patternFill patternType="solid">
        <fgColor rgb="FFFFFF00"/>
        <bgColor rgb="FFFFFF00"/>
      </patternFill>
    </fill>
    <fill>
      <patternFill patternType="solid">
        <fgColor rgb="FFE2EFDA"/>
        <bgColor rgb="FFD9E1F2"/>
      </patternFill>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3">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bottom" textRotation="0" wrapText="false" indent="0" shrinkToFit="false"/>
      <protection locked="true" hidden="false"/>
    </xf>
    <xf numFmtId="164" fontId="7" fillId="2" borderId="0" xfId="0" applyFont="true" applyBorder="false" applyAlignment="true" applyProtection="false">
      <alignment horizontal="general" vertical="bottom" textRotation="0" wrapText="false" indent="0" shrinkToFit="false"/>
      <protection locked="true" hidden="false"/>
    </xf>
    <xf numFmtId="164" fontId="5" fillId="2" borderId="0" xfId="0" applyFont="true" applyBorder="false" applyAlignment="true" applyProtection="false">
      <alignment horizontal="general" vertical="bottom" textRotation="0" wrapText="false" indent="0" shrinkToFit="false"/>
      <protection locked="true" hidden="false"/>
    </xf>
    <xf numFmtId="164" fontId="8" fillId="3" borderId="0" xfId="0" applyFont="true" applyBorder="false" applyAlignment="tru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general" vertical="bottom" textRotation="0" wrapText="false" indent="0" shrinkToFit="false"/>
      <protection locked="true" hidden="false"/>
    </xf>
    <xf numFmtId="165" fontId="9" fillId="0" borderId="0" xfId="0" applyFont="true" applyBorder="false" applyAlignment="true" applyProtection="false">
      <alignment horizontal="general" vertical="bottom" textRotation="0" wrapText="false" indent="0" shrinkToFit="false"/>
      <protection locked="true" hidden="false"/>
    </xf>
    <xf numFmtId="164" fontId="10" fillId="0" borderId="0" xfId="0" applyFont="true" applyBorder="false" applyAlignment="true" applyProtection="false">
      <alignment horizontal="general" vertical="bottom" textRotation="0" wrapText="false" indent="0" shrinkToFit="false"/>
      <protection locked="true" hidden="false"/>
    </xf>
    <xf numFmtId="164" fontId="9" fillId="0" borderId="0" xfId="0" applyFont="true" applyBorder="false" applyAlignment="true" applyProtection="false">
      <alignment horizontal="general" vertical="bottom" textRotation="0" wrapText="false" indent="0" shrinkToFit="false"/>
      <protection locked="true" hidden="false"/>
    </xf>
    <xf numFmtId="166" fontId="9" fillId="0" borderId="0" xfId="0" applyFont="true" applyBorder="false" applyAlignment="true" applyProtection="false">
      <alignment horizontal="general" vertical="bottom" textRotation="0" wrapText="false" indent="0" shrinkToFit="false"/>
      <protection locked="true" hidden="false"/>
    </xf>
    <xf numFmtId="167" fontId="9" fillId="0" borderId="0" xfId="0" applyFont="true" applyBorder="false" applyAlignment="true" applyProtection="false">
      <alignment horizontal="general" vertical="bottom" textRotation="0" wrapText="false" indent="0" shrinkToFit="false"/>
      <protection locked="true" hidden="false"/>
    </xf>
    <xf numFmtId="168" fontId="11" fillId="0" borderId="0" xfId="0" applyFont="true" applyBorder="false" applyAlignment="true" applyProtection="false">
      <alignment horizontal="general" vertical="bottom" textRotation="0" wrapText="false" indent="0" shrinkToFit="false"/>
      <protection locked="true" hidden="false"/>
    </xf>
    <xf numFmtId="169" fontId="9" fillId="4" borderId="0" xfId="0" applyFont="true" applyBorder="false" applyAlignment="true" applyProtection="false">
      <alignment horizontal="general" vertical="bottom" textRotation="0" wrapText="false" indent="0" shrinkToFit="false"/>
      <protection locked="true" hidden="false"/>
    </xf>
    <xf numFmtId="167" fontId="9" fillId="4" borderId="0" xfId="0" applyFont="true" applyBorder="false" applyAlignment="true" applyProtection="false">
      <alignment horizontal="general" vertical="bottom" textRotation="0" wrapText="false" indent="0" shrinkToFit="false"/>
      <protection locked="true" hidden="false"/>
    </xf>
    <xf numFmtId="169" fontId="9" fillId="0" borderId="0" xfId="0" applyFont="true" applyBorder="false" applyAlignment="true" applyProtection="false">
      <alignment horizontal="general" vertical="bottom" textRotation="0" wrapText="false" indent="0" shrinkToFit="false"/>
      <protection locked="true" hidden="false"/>
    </xf>
    <xf numFmtId="170" fontId="9" fillId="0" borderId="0" xfId="0" applyFont="true" applyBorder="false" applyAlignment="true" applyProtection="false">
      <alignment horizontal="general" vertical="bottom" textRotation="0" wrapText="false" indent="0" shrinkToFit="false"/>
      <protection locked="true" hidden="false"/>
    </xf>
    <xf numFmtId="171" fontId="9" fillId="4" borderId="0" xfId="0" applyFont="true" applyBorder="false" applyAlignment="true" applyProtection="false">
      <alignment horizontal="general" vertical="bottom" textRotation="0" wrapText="false" indent="0" shrinkToFit="false"/>
      <protection locked="true" hidden="false"/>
    </xf>
    <xf numFmtId="170" fontId="10" fillId="5" borderId="0" xfId="0" applyFont="true" applyBorder="false" applyAlignment="true" applyProtection="false">
      <alignment horizontal="general" vertical="bottom" textRotation="0" wrapText="false" indent="0" shrinkToFit="false"/>
      <protection locked="true" hidden="false"/>
    </xf>
    <xf numFmtId="172" fontId="5" fillId="5" borderId="0" xfId="0" applyFont="true" applyBorder="false" applyAlignment="true" applyProtection="false">
      <alignment horizontal="general" vertical="bottom" textRotation="0" wrapText="false" indent="0" shrinkToFit="false"/>
      <protection locked="true" hidden="false"/>
    </xf>
    <xf numFmtId="170" fontId="5" fillId="0" borderId="0" xfId="0" applyFont="true" applyBorder="false" applyAlignment="true" applyProtection="false">
      <alignment horizontal="general" vertical="bottom" textRotation="0" wrapText="false" indent="0" shrinkToFit="false"/>
      <protection locked="true" hidden="false"/>
    </xf>
    <xf numFmtId="173" fontId="5" fillId="0" borderId="0" xfId="0" applyFont="true" applyBorder="false" applyAlignment="true" applyProtection="false">
      <alignment horizontal="general" vertical="bottom" textRotation="0" wrapText="false" indent="0" shrinkToFit="false"/>
      <protection locked="true" hidden="false"/>
    </xf>
    <xf numFmtId="166" fontId="5" fillId="0" borderId="0" xfId="0" applyFont="true" applyBorder="false" applyAlignment="true" applyProtection="false">
      <alignment horizontal="general" vertical="bottom" textRotation="0" wrapText="false" indent="0" shrinkToFit="false"/>
      <protection locked="true" hidden="false"/>
    </xf>
    <xf numFmtId="167" fontId="5" fillId="0" borderId="0" xfId="0" applyFont="true" applyBorder="false" applyAlignment="true" applyProtection="false">
      <alignment horizontal="general" vertical="bottom" textRotation="0" wrapText="false" indent="0" shrinkToFit="false"/>
      <protection locked="true" hidden="false"/>
    </xf>
    <xf numFmtId="174" fontId="5" fillId="0" borderId="0" xfId="0" applyFont="true" applyBorder="false" applyAlignment="true" applyProtection="false">
      <alignment horizontal="general" vertical="bottom" textRotation="0" wrapText="false" indent="0" shrinkToFit="false"/>
      <protection locked="true" hidden="false"/>
    </xf>
    <xf numFmtId="175" fontId="8" fillId="6" borderId="0" xfId="0" applyFont="true" applyBorder="false" applyAlignment="true" applyProtection="false">
      <alignment horizontal="general" vertical="bottom" textRotation="0" wrapText="false" indent="0" shrinkToFit="false"/>
      <protection locked="true" hidden="false"/>
    </xf>
    <xf numFmtId="176" fontId="5" fillId="0" borderId="0" xfId="0" applyFont="true" applyBorder="false" applyAlignment="true" applyProtection="false">
      <alignment horizontal="general" vertical="bottom" textRotation="0" wrapText="false" indent="0" shrinkToFit="false"/>
      <protection locked="true" hidden="false"/>
    </xf>
    <xf numFmtId="168" fontId="5" fillId="0" borderId="0" xfId="0" applyFont="true" applyBorder="false" applyAlignment="true" applyProtection="false">
      <alignment horizontal="general" vertical="bottom" textRotation="0" wrapText="false" indent="0" shrinkToFit="false"/>
      <protection locked="true" hidden="false"/>
    </xf>
    <xf numFmtId="168" fontId="8" fillId="0" borderId="0" xfId="0" applyFont="true" applyBorder="false" applyAlignment="true" applyProtection="false">
      <alignment horizontal="general" vertical="bottom" textRotation="0" wrapText="false" indent="0" shrinkToFit="false"/>
      <protection locked="true" hidden="false"/>
    </xf>
    <xf numFmtId="169" fontId="10" fillId="0" borderId="0" xfId="0" applyFont="true" applyBorder="false" applyAlignment="true" applyProtection="false">
      <alignment horizontal="general" vertical="bottom" textRotation="0" wrapText="false" indent="0" shrinkToFit="false"/>
      <protection locked="true" hidden="false"/>
    </xf>
    <xf numFmtId="175" fontId="10" fillId="0" borderId="0" xfId="0" applyFont="true" applyBorder="false" applyAlignment="tru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2CC"/>
      <rgbColor rgb="FFCCFFFF"/>
      <rgbColor rgb="FF660066"/>
      <rgbColor rgb="FFFF8080"/>
      <rgbColor rgb="FF0066CC"/>
      <rgbColor rgb="FFD9E1F2"/>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comments" Target="../comments1.xml"/><Relationship Id="rId2" Type="http://schemas.openxmlformats.org/officeDocument/2006/relationships/vmlDrawing" Target="../drawings/vmlDrawing1.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96"/>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1" width="34"/>
    <col collapsed="false" customWidth="true" hidden="false" outlineLevel="0" max="7" min="2" style="1" width="13"/>
    <col collapsed="false" customWidth="true" hidden="false" outlineLevel="0" max="8" min="8" style="1" width="26"/>
    <col collapsed="false" customWidth="true" hidden="false" outlineLevel="0" max="9" min="9" style="1" width="90"/>
  </cols>
  <sheetData>
    <row r="1" customFormat="false" ht="17.25" hidden="false" customHeight="true" outlineLevel="0" collapsed="false">
      <c r="A1" s="2" t="s">
        <v>0</v>
      </c>
      <c r="B1" s="3"/>
      <c r="C1" s="3"/>
      <c r="D1" s="3"/>
      <c r="E1" s="3"/>
      <c r="F1" s="3"/>
      <c r="G1" s="3"/>
      <c r="H1" s="3"/>
      <c r="I1" s="3"/>
      <c r="J1" s="3"/>
    </row>
    <row r="2" customFormat="false" ht="15" hidden="false" customHeight="true" outlineLevel="0" collapsed="false">
      <c r="A2" s="4" t="s">
        <v>1</v>
      </c>
      <c r="B2" s="3"/>
      <c r="C2" s="3"/>
      <c r="D2" s="3"/>
      <c r="E2" s="3"/>
      <c r="F2" s="3"/>
      <c r="G2" s="3"/>
      <c r="H2" s="3"/>
      <c r="I2" s="3"/>
      <c r="J2" s="3"/>
    </row>
    <row r="3" customFormat="false" ht="15" hidden="false" customHeight="true" outlineLevel="0" collapsed="false">
      <c r="A3" s="4" t="s">
        <v>2</v>
      </c>
      <c r="B3" s="3"/>
      <c r="C3" s="3"/>
      <c r="D3" s="3"/>
      <c r="E3" s="3"/>
      <c r="F3" s="3"/>
      <c r="G3" s="3"/>
      <c r="H3" s="3"/>
      <c r="I3" s="3"/>
      <c r="J3" s="3"/>
    </row>
    <row r="4" customFormat="false" ht="15" hidden="false" customHeight="true" outlineLevel="0" collapsed="false">
      <c r="A4" s="3"/>
      <c r="B4" s="3"/>
      <c r="C4" s="3"/>
      <c r="D4" s="3"/>
      <c r="E4" s="3"/>
      <c r="F4" s="3"/>
      <c r="G4" s="3"/>
      <c r="H4" s="3"/>
      <c r="I4" s="3"/>
      <c r="J4" s="3"/>
    </row>
    <row r="5" customFormat="false" ht="15" hidden="false" customHeight="true" outlineLevel="0" collapsed="false">
      <c r="A5" s="5" t="s">
        <v>3</v>
      </c>
      <c r="B5" s="6"/>
      <c r="C5" s="6"/>
      <c r="D5" s="6"/>
      <c r="E5" s="6"/>
      <c r="F5" s="6"/>
      <c r="G5" s="6"/>
      <c r="H5" s="6"/>
      <c r="I5" s="6"/>
      <c r="J5" s="6"/>
    </row>
    <row r="6" customFormat="false" ht="15" hidden="false" customHeight="true" outlineLevel="0" collapsed="false">
      <c r="A6" s="7" t="s">
        <v>4</v>
      </c>
      <c r="B6" s="7" t="s">
        <v>5</v>
      </c>
      <c r="C6" s="7" t="s">
        <v>6</v>
      </c>
      <c r="D6" s="7" t="s">
        <v>7</v>
      </c>
      <c r="E6" s="7" t="s">
        <v>8</v>
      </c>
      <c r="F6" s="7" t="s">
        <v>9</v>
      </c>
      <c r="G6" s="7" t="s">
        <v>10</v>
      </c>
      <c r="H6" s="7" t="s">
        <v>11</v>
      </c>
      <c r="I6" s="7" t="s">
        <v>12</v>
      </c>
      <c r="J6" s="3"/>
    </row>
    <row r="7" customFormat="false" ht="15" hidden="false" customHeight="true" outlineLevel="0" collapsed="false">
      <c r="A7" s="8" t="s">
        <v>13</v>
      </c>
      <c r="B7" s="9" t="n">
        <v>3.5</v>
      </c>
      <c r="C7" s="9" t="n">
        <v>4.75</v>
      </c>
      <c r="D7" s="9" t="n">
        <v>13.5</v>
      </c>
      <c r="E7" s="9" t="n">
        <v>30</v>
      </c>
      <c r="F7" s="9" t="n">
        <v>2</v>
      </c>
      <c r="G7" s="9" t="n">
        <v>4.3</v>
      </c>
      <c r="H7" s="10" t="s">
        <v>14</v>
      </c>
      <c r="I7" s="10" t="s">
        <v>15</v>
      </c>
      <c r="J7" s="3"/>
    </row>
    <row r="8" customFormat="false" ht="15" hidden="false" customHeight="true" outlineLevel="0" collapsed="false">
      <c r="A8" s="8" t="s">
        <v>16</v>
      </c>
      <c r="B8" s="11" t="s">
        <v>17</v>
      </c>
      <c r="C8" s="11" t="s">
        <v>17</v>
      </c>
      <c r="D8" s="11" t="s">
        <v>7</v>
      </c>
      <c r="E8" s="11" t="s">
        <v>18</v>
      </c>
      <c r="F8" s="11" t="s">
        <v>18</v>
      </c>
      <c r="G8" s="11" t="s">
        <v>18</v>
      </c>
      <c r="H8" s="10" t="s">
        <v>19</v>
      </c>
      <c r="I8" s="10" t="s">
        <v>20</v>
      </c>
      <c r="J8" s="3"/>
    </row>
    <row r="9" customFormat="false" ht="15" hidden="false" customHeight="true" outlineLevel="0" collapsed="false">
      <c r="A9" s="8" t="s">
        <v>21</v>
      </c>
      <c r="B9" s="12" t="n">
        <v>0.6</v>
      </c>
      <c r="C9" s="12" t="n">
        <v>0.75</v>
      </c>
      <c r="D9" s="12" t="n">
        <v>0.8</v>
      </c>
      <c r="E9" s="12" t="n">
        <v>0.8</v>
      </c>
      <c r="F9" s="12" t="n">
        <v>0</v>
      </c>
      <c r="G9" s="12" t="n">
        <v>0.6</v>
      </c>
      <c r="H9" s="10" t="s">
        <v>22</v>
      </c>
      <c r="I9" s="10" t="s">
        <v>23</v>
      </c>
      <c r="J9" s="3"/>
    </row>
    <row r="10" customFormat="false" ht="15" hidden="false" customHeight="true" outlineLevel="0" collapsed="false">
      <c r="A10" s="8" t="s">
        <v>24</v>
      </c>
      <c r="B10" s="12" t="n">
        <v>0.7</v>
      </c>
      <c r="C10" s="12" t="n">
        <v>0.8</v>
      </c>
      <c r="D10" s="12" t="n">
        <v>0</v>
      </c>
      <c r="E10" s="12" t="n">
        <v>0</v>
      </c>
      <c r="F10" s="12" t="n">
        <v>0.75</v>
      </c>
      <c r="G10" s="12" t="n">
        <v>0.8</v>
      </c>
      <c r="H10" s="10" t="s">
        <v>22</v>
      </c>
      <c r="I10" s="10" t="s">
        <v>25</v>
      </c>
      <c r="J10" s="3"/>
    </row>
    <row r="11" customFormat="false" ht="15" hidden="false" customHeight="true" outlineLevel="0" collapsed="false">
      <c r="A11" s="8" t="s">
        <v>26</v>
      </c>
      <c r="B11" s="12" t="n">
        <v>0.75</v>
      </c>
      <c r="C11" s="12" t="n">
        <v>0.8</v>
      </c>
      <c r="D11" s="12" t="n">
        <v>0</v>
      </c>
      <c r="E11" s="12" t="n">
        <v>0</v>
      </c>
      <c r="F11" s="12" t="n">
        <v>0.8</v>
      </c>
      <c r="G11" s="12" t="n">
        <v>0.85</v>
      </c>
      <c r="H11" s="10" t="s">
        <v>22</v>
      </c>
      <c r="I11" s="10" t="s">
        <v>27</v>
      </c>
      <c r="J11" s="3"/>
    </row>
    <row r="12" customFormat="false" ht="15" hidden="false" customHeight="true" outlineLevel="0" collapsed="false">
      <c r="A12" s="8" t="s">
        <v>28</v>
      </c>
      <c r="B12" s="12" t="n">
        <v>0.85</v>
      </c>
      <c r="C12" s="12" t="n">
        <v>0</v>
      </c>
      <c r="D12" s="12" t="n">
        <v>0</v>
      </c>
      <c r="E12" s="12" t="n">
        <v>0</v>
      </c>
      <c r="F12" s="12" t="n">
        <v>0.85</v>
      </c>
      <c r="G12" s="12" t="n">
        <v>0.85</v>
      </c>
      <c r="H12" s="10" t="s">
        <v>22</v>
      </c>
      <c r="I12" s="10" t="s">
        <v>29</v>
      </c>
      <c r="J12" s="3"/>
    </row>
    <row r="13" customFormat="false" ht="15" hidden="false" customHeight="true" outlineLevel="0" collapsed="false">
      <c r="A13" s="8" t="s">
        <v>30</v>
      </c>
      <c r="B13" s="11" t="n">
        <v>500</v>
      </c>
      <c r="C13" s="11" t="n">
        <v>500</v>
      </c>
      <c r="D13" s="11" t="n">
        <v>500</v>
      </c>
      <c r="E13" s="11" t="n">
        <v>500</v>
      </c>
      <c r="F13" s="11" t="n">
        <v>500</v>
      </c>
      <c r="G13" s="11" t="n">
        <v>500</v>
      </c>
      <c r="H13" s="10" t="s">
        <v>31</v>
      </c>
      <c r="I13" s="10" t="s">
        <v>32</v>
      </c>
      <c r="J13" s="3"/>
    </row>
    <row r="14" customFormat="false" ht="15" hidden="false" customHeight="true" outlineLevel="0" collapsed="false">
      <c r="A14" s="3"/>
      <c r="B14" s="3"/>
      <c r="C14" s="3"/>
      <c r="D14" s="3"/>
      <c r="E14" s="3"/>
      <c r="F14" s="3"/>
      <c r="G14" s="3"/>
      <c r="H14" s="3"/>
      <c r="I14" s="3"/>
      <c r="J14" s="3"/>
    </row>
    <row r="15" customFormat="false" ht="15" hidden="false" customHeight="true" outlineLevel="0" collapsed="false">
      <c r="A15" s="5" t="s">
        <v>33</v>
      </c>
      <c r="B15" s="6"/>
      <c r="C15" s="6"/>
      <c r="D15" s="6"/>
      <c r="E15" s="6"/>
      <c r="F15" s="6"/>
      <c r="G15" s="6"/>
      <c r="H15" s="6"/>
      <c r="I15" s="6"/>
      <c r="J15" s="6"/>
    </row>
    <row r="16" customFormat="false" ht="15" hidden="false" customHeight="true" outlineLevel="0" collapsed="false">
      <c r="A16" s="7" t="s">
        <v>4</v>
      </c>
      <c r="B16" s="7" t="s">
        <v>34</v>
      </c>
      <c r="C16" s="7" t="s">
        <v>35</v>
      </c>
      <c r="D16" s="7" t="s">
        <v>36</v>
      </c>
      <c r="E16" s="7" t="s">
        <v>37</v>
      </c>
      <c r="F16" s="3"/>
      <c r="G16" s="3"/>
      <c r="H16" s="7" t="s">
        <v>11</v>
      </c>
      <c r="I16" s="7" t="s">
        <v>12</v>
      </c>
      <c r="J16" s="3"/>
    </row>
    <row r="17" customFormat="false" ht="15" hidden="false" customHeight="true" outlineLevel="0" collapsed="false">
      <c r="A17" s="8" t="s">
        <v>38</v>
      </c>
      <c r="B17" s="11" t="n">
        <v>10</v>
      </c>
      <c r="C17" s="11" t="n">
        <v>5</v>
      </c>
      <c r="D17" s="11" t="n">
        <v>4</v>
      </c>
      <c r="E17" s="11" t="n">
        <v>1</v>
      </c>
      <c r="F17" s="3"/>
      <c r="G17" s="3"/>
      <c r="H17" s="3" t="s">
        <v>39</v>
      </c>
      <c r="I17" s="3" t="s">
        <v>40</v>
      </c>
      <c r="J17" s="3"/>
    </row>
    <row r="18" customFormat="false" ht="15" hidden="false" customHeight="true" outlineLevel="0" collapsed="false">
      <c r="A18" s="8" t="s">
        <v>41</v>
      </c>
      <c r="B18" s="13" t="n">
        <v>0</v>
      </c>
      <c r="C18" s="13" t="n">
        <v>0</v>
      </c>
      <c r="D18" s="13" t="n">
        <v>0</v>
      </c>
      <c r="E18" s="13" t="n">
        <v>0</v>
      </c>
      <c r="F18" s="3"/>
      <c r="G18" s="3"/>
      <c r="H18" s="3" t="s">
        <v>42</v>
      </c>
      <c r="I18" s="3" t="s">
        <v>43</v>
      </c>
      <c r="J18" s="3"/>
    </row>
    <row r="19" customFormat="false" ht="15" hidden="false" customHeight="true" outlineLevel="0" collapsed="false">
      <c r="A19" s="8" t="s">
        <v>44</v>
      </c>
      <c r="B19" s="14" t="n">
        <f aca="false">INDEX(Scenarios!B$5:B$7,MATCH(ACTIVE_RAID,Scenarios!$A$5:$A$7,0))</f>
        <v>40</v>
      </c>
      <c r="C19" s="14" t="n">
        <f aca="false">INDEX(Scenarios!C$5:C$7,MATCH(ACTIVE_RAID,Scenarios!$A$5:$A$7,0))</f>
        <v>30</v>
      </c>
      <c r="D19" s="14" t="n">
        <f aca="false">INDEX(Scenarios!D$5:D$7,MATCH(ACTIVE_RAID,Scenarios!$A$5:$A$7,0))</f>
        <v>10</v>
      </c>
      <c r="E19" s="14" t="n">
        <f aca="false">INDEX(Scenarios!E$5:E$7,MATCH(ACTIVE_RAID,Scenarios!$A$5:$A$7,0))</f>
        <v>50</v>
      </c>
      <c r="F19" s="3"/>
      <c r="G19" s="3"/>
      <c r="H19" s="3" t="s">
        <v>45</v>
      </c>
      <c r="I19" s="3" t="s">
        <v>46</v>
      </c>
      <c r="J19" s="3"/>
    </row>
    <row r="20" customFormat="false" ht="15" hidden="false" customHeight="true" outlineLevel="0" collapsed="false">
      <c r="A20" s="3"/>
      <c r="B20" s="3"/>
      <c r="C20" s="3"/>
      <c r="D20" s="3"/>
      <c r="E20" s="3"/>
      <c r="F20" s="3"/>
      <c r="G20" s="3"/>
      <c r="H20" s="3"/>
      <c r="I20" s="3"/>
      <c r="J20" s="3"/>
    </row>
    <row r="21" customFormat="false" ht="15" hidden="false" customHeight="true" outlineLevel="0" collapsed="false">
      <c r="A21" s="5" t="s">
        <v>47</v>
      </c>
      <c r="B21" s="6"/>
      <c r="C21" s="6"/>
      <c r="D21" s="6"/>
      <c r="E21" s="6"/>
      <c r="F21" s="6"/>
      <c r="G21" s="6"/>
      <c r="H21" s="6"/>
      <c r="I21" s="6"/>
      <c r="J21" s="6"/>
    </row>
    <row r="22" customFormat="false" ht="15" hidden="false" customHeight="true" outlineLevel="0" collapsed="false">
      <c r="A22" s="7" t="s">
        <v>4</v>
      </c>
      <c r="B22" s="7" t="s">
        <v>48</v>
      </c>
      <c r="C22" s="3"/>
      <c r="D22" s="3"/>
      <c r="E22" s="3"/>
      <c r="F22" s="3"/>
      <c r="G22" s="3"/>
      <c r="H22" s="7" t="s">
        <v>11</v>
      </c>
      <c r="I22" s="7" t="s">
        <v>12</v>
      </c>
      <c r="J22" s="3"/>
    </row>
    <row r="23" customFormat="false" ht="15" hidden="false" customHeight="true" outlineLevel="0" collapsed="false">
      <c r="A23" s="8" t="s">
        <v>49</v>
      </c>
      <c r="B23" s="15" t="n">
        <v>4000</v>
      </c>
      <c r="C23" s="3"/>
      <c r="D23" s="3"/>
      <c r="E23" s="3"/>
      <c r="F23" s="3"/>
      <c r="G23" s="3"/>
      <c r="H23" s="3" t="s">
        <v>50</v>
      </c>
      <c r="I23" s="3" t="s">
        <v>51</v>
      </c>
      <c r="J23" s="3"/>
    </row>
    <row r="24" customFormat="false" ht="15" hidden="false" customHeight="true" outlineLevel="0" collapsed="false">
      <c r="A24" s="8" t="s">
        <v>52</v>
      </c>
      <c r="B24" s="16" t="n">
        <v>0</v>
      </c>
      <c r="C24" s="3"/>
      <c r="D24" s="3"/>
      <c r="E24" s="3"/>
      <c r="F24" s="3"/>
      <c r="G24" s="3"/>
      <c r="H24" s="3" t="s">
        <v>53</v>
      </c>
      <c r="I24" s="3" t="s">
        <v>54</v>
      </c>
      <c r="J24" s="3"/>
    </row>
    <row r="25" customFormat="false" ht="15" hidden="false" customHeight="true" outlineLevel="0" collapsed="false">
      <c r="A25" s="8" t="s">
        <v>55</v>
      </c>
      <c r="B25" s="17" t="n">
        <v>1900</v>
      </c>
      <c r="C25" s="3"/>
      <c r="D25" s="3"/>
      <c r="E25" s="3"/>
      <c r="F25" s="3"/>
      <c r="G25" s="3"/>
      <c r="H25" s="3" t="s">
        <v>56</v>
      </c>
      <c r="I25" s="3" t="s">
        <v>57</v>
      </c>
      <c r="J25" s="3"/>
    </row>
    <row r="26" customFormat="false" ht="15" hidden="false" customHeight="true" outlineLevel="0" collapsed="false">
      <c r="A26" s="8" t="s">
        <v>58</v>
      </c>
      <c r="B26" s="17" t="n">
        <v>1100</v>
      </c>
      <c r="C26" s="3"/>
      <c r="D26" s="3"/>
      <c r="E26" s="3"/>
      <c r="F26" s="3"/>
      <c r="G26" s="3"/>
      <c r="H26" s="3" t="s">
        <v>59</v>
      </c>
      <c r="I26" s="3" t="s">
        <v>60</v>
      </c>
      <c r="J26" s="3"/>
    </row>
    <row r="27" customFormat="false" ht="15" hidden="false" customHeight="true" outlineLevel="0" collapsed="false">
      <c r="A27" s="8" t="s">
        <v>61</v>
      </c>
      <c r="B27" s="17" t="n">
        <v>0</v>
      </c>
      <c r="C27" s="3"/>
      <c r="D27" s="3"/>
      <c r="E27" s="3"/>
      <c r="F27" s="3"/>
      <c r="G27" s="3"/>
      <c r="H27" s="3" t="s">
        <v>50</v>
      </c>
      <c r="I27" s="3" t="s">
        <v>62</v>
      </c>
      <c r="J27" s="3"/>
    </row>
    <row r="28" customFormat="false" ht="15" hidden="false" customHeight="true" outlineLevel="0" collapsed="false">
      <c r="A28" s="8" t="s">
        <v>63</v>
      </c>
      <c r="B28" s="18" t="n">
        <v>96</v>
      </c>
      <c r="C28" s="3"/>
      <c r="D28" s="3"/>
      <c r="E28" s="3"/>
      <c r="F28" s="3"/>
      <c r="G28" s="3"/>
      <c r="H28" s="3" t="s">
        <v>64</v>
      </c>
      <c r="I28" s="3" t="s">
        <v>65</v>
      </c>
      <c r="J28" s="3"/>
    </row>
    <row r="29" customFormat="false" ht="15" hidden="false" customHeight="true" outlineLevel="0" collapsed="false">
      <c r="A29" s="8" t="s">
        <v>66</v>
      </c>
      <c r="B29" s="18" t="n">
        <v>6</v>
      </c>
      <c r="C29" s="3"/>
      <c r="D29" s="3"/>
      <c r="E29" s="3"/>
      <c r="F29" s="3"/>
      <c r="G29" s="3"/>
      <c r="H29" s="3" t="s">
        <v>67</v>
      </c>
      <c r="I29" s="3" t="s">
        <v>68</v>
      </c>
      <c r="J29" s="3"/>
    </row>
    <row r="30" customFormat="false" ht="15" hidden="false" customHeight="true" outlineLevel="0" collapsed="false">
      <c r="A30" s="8" t="s">
        <v>69</v>
      </c>
      <c r="B30" s="18" t="n">
        <v>48</v>
      </c>
      <c r="C30" s="3"/>
      <c r="D30" s="3"/>
      <c r="E30" s="3"/>
      <c r="F30" s="3"/>
      <c r="G30" s="3"/>
      <c r="H30" s="3" t="s">
        <v>70</v>
      </c>
      <c r="I30" s="3" t="s">
        <v>71</v>
      </c>
      <c r="J30" s="3"/>
    </row>
    <row r="31" customFormat="false" ht="15" hidden="false" customHeight="true" outlineLevel="0" collapsed="false">
      <c r="A31" s="8" t="s">
        <v>72</v>
      </c>
      <c r="B31" s="19" t="s">
        <v>73</v>
      </c>
      <c r="C31" s="3"/>
      <c r="D31" s="3"/>
      <c r="E31" s="3"/>
      <c r="F31" s="3"/>
      <c r="G31" s="3"/>
      <c r="H31" s="3" t="s">
        <v>74</v>
      </c>
      <c r="I31" s="3" t="s">
        <v>75</v>
      </c>
      <c r="J31" s="3"/>
    </row>
    <row r="32" customFormat="false" ht="15" hidden="false" customHeight="true" outlineLevel="0" collapsed="false">
      <c r="A32" s="3"/>
      <c r="B32" s="3"/>
      <c r="C32" s="3"/>
      <c r="D32" s="3"/>
      <c r="E32" s="3"/>
      <c r="F32" s="3"/>
      <c r="G32" s="3"/>
      <c r="H32" s="3"/>
      <c r="I32" s="3"/>
      <c r="J32" s="3"/>
    </row>
    <row r="33" customFormat="false" ht="15" hidden="false" customHeight="true" outlineLevel="0" collapsed="false">
      <c r="A33" s="5" t="s">
        <v>76</v>
      </c>
      <c r="B33" s="6"/>
      <c r="C33" s="6"/>
      <c r="D33" s="6"/>
      <c r="E33" s="6"/>
      <c r="F33" s="6"/>
      <c r="G33" s="6"/>
      <c r="H33" s="6"/>
      <c r="I33" s="6"/>
      <c r="J33" s="6"/>
    </row>
    <row r="34" customFormat="false" ht="15" hidden="false" customHeight="true" outlineLevel="0" collapsed="false">
      <c r="A34" s="7" t="s">
        <v>77</v>
      </c>
      <c r="B34" s="7" t="s">
        <v>5</v>
      </c>
      <c r="C34" s="7" t="s">
        <v>6</v>
      </c>
      <c r="D34" s="7" t="s">
        <v>7</v>
      </c>
      <c r="E34" s="7" t="s">
        <v>8</v>
      </c>
      <c r="F34" s="7" t="s">
        <v>9</v>
      </c>
      <c r="G34" s="7" t="s">
        <v>10</v>
      </c>
      <c r="H34" s="7" t="s">
        <v>11</v>
      </c>
      <c r="I34" s="7" t="s">
        <v>78</v>
      </c>
      <c r="J34" s="3"/>
    </row>
    <row r="35" customFormat="false" ht="15" hidden="false" customHeight="true" outlineLevel="0" collapsed="false">
      <c r="A35" s="8" t="s">
        <v>79</v>
      </c>
      <c r="B35" s="20" t="n">
        <v>93</v>
      </c>
      <c r="C35" s="20" t="n">
        <v>2</v>
      </c>
      <c r="D35" s="20" t="n">
        <v>35</v>
      </c>
      <c r="E35" s="20" t="n">
        <v>0</v>
      </c>
      <c r="F35" s="20" t="n">
        <v>0</v>
      </c>
      <c r="G35" s="20" t="n">
        <v>0</v>
      </c>
      <c r="H35" s="3" t="s">
        <v>70</v>
      </c>
      <c r="I35" s="3" t="s">
        <v>80</v>
      </c>
      <c r="J35" s="3"/>
    </row>
    <row r="36" customFormat="false" ht="15" hidden="false" customHeight="true" outlineLevel="0" collapsed="false">
      <c r="A36" s="8" t="s">
        <v>81</v>
      </c>
      <c r="B36" s="20" t="n">
        <v>0</v>
      </c>
      <c r="C36" s="20" t="n">
        <v>0</v>
      </c>
      <c r="D36" s="20" t="n">
        <v>0</v>
      </c>
      <c r="E36" s="20" t="n">
        <v>0</v>
      </c>
      <c r="F36" s="20" t="n">
        <v>66</v>
      </c>
      <c r="G36" s="20" t="n">
        <v>0</v>
      </c>
      <c r="H36" s="3" t="s">
        <v>70</v>
      </c>
      <c r="I36" s="3" t="s">
        <v>80</v>
      </c>
      <c r="J36" s="3"/>
    </row>
    <row r="37" customFormat="false" ht="15" hidden="false" customHeight="true" outlineLevel="0" collapsed="false">
      <c r="A37" s="8" t="s">
        <v>82</v>
      </c>
      <c r="B37" s="20" t="n">
        <v>0</v>
      </c>
      <c r="C37" s="20" t="n">
        <v>0</v>
      </c>
      <c r="D37" s="20" t="n">
        <v>0</v>
      </c>
      <c r="E37" s="20" t="n">
        <v>0</v>
      </c>
      <c r="F37" s="20" t="n">
        <v>19</v>
      </c>
      <c r="G37" s="20" t="n">
        <v>0</v>
      </c>
      <c r="H37" s="3" t="s">
        <v>70</v>
      </c>
      <c r="I37" s="3" t="s">
        <v>80</v>
      </c>
      <c r="J37" s="3"/>
    </row>
    <row r="38" customFormat="false" ht="15" hidden="false" customHeight="true" outlineLevel="0" collapsed="false">
      <c r="A38" s="8" t="s">
        <v>83</v>
      </c>
      <c r="B38" s="20" t="n">
        <v>0</v>
      </c>
      <c r="C38" s="20" t="n">
        <v>0</v>
      </c>
      <c r="D38" s="20" t="n">
        <v>0</v>
      </c>
      <c r="E38" s="20" t="n">
        <v>0</v>
      </c>
      <c r="F38" s="20" t="n">
        <v>11</v>
      </c>
      <c r="G38" s="20" t="n">
        <v>0</v>
      </c>
      <c r="H38" s="3" t="s">
        <v>70</v>
      </c>
      <c r="I38" s="3" t="s">
        <v>80</v>
      </c>
      <c r="J38" s="3"/>
    </row>
    <row r="39" customFormat="false" ht="15" hidden="false" customHeight="true" outlineLevel="0" collapsed="false">
      <c r="A39" s="3"/>
      <c r="B39" s="3"/>
      <c r="C39" s="3"/>
      <c r="D39" s="3"/>
      <c r="E39" s="3"/>
      <c r="F39" s="3"/>
      <c r="G39" s="3"/>
      <c r="H39" s="3"/>
      <c r="I39" s="3"/>
      <c r="J39" s="3"/>
    </row>
    <row r="40" customFormat="false" ht="15" hidden="false" customHeight="true" outlineLevel="0" collapsed="false">
      <c r="A40" s="7" t="s">
        <v>84</v>
      </c>
      <c r="B40" s="7" t="s">
        <v>18</v>
      </c>
      <c r="C40" s="7" t="s">
        <v>17</v>
      </c>
      <c r="D40" s="7" t="s">
        <v>7</v>
      </c>
      <c r="E40" s="3"/>
      <c r="F40" s="3"/>
      <c r="G40" s="3"/>
      <c r="H40" s="7" t="s">
        <v>11</v>
      </c>
      <c r="I40" s="7" t="s">
        <v>78</v>
      </c>
      <c r="J40" s="3"/>
    </row>
    <row r="41" customFormat="false" ht="15" hidden="false" customHeight="true" outlineLevel="0" collapsed="false">
      <c r="A41" s="8" t="s">
        <v>85</v>
      </c>
      <c r="B41" s="21" t="n">
        <v>1</v>
      </c>
      <c r="C41" s="21" t="n">
        <v>1</v>
      </c>
      <c r="D41" s="11" t="n">
        <v>1</v>
      </c>
      <c r="E41" s="3"/>
      <c r="F41" s="3"/>
      <c r="G41" s="3"/>
      <c r="H41" s="3" t="s">
        <v>86</v>
      </c>
      <c r="I41" s="3" t="s">
        <v>87</v>
      </c>
      <c r="J41" s="3"/>
    </row>
    <row r="42" customFormat="false" ht="15" hidden="false" customHeight="true" outlineLevel="0" collapsed="false">
      <c r="A42" s="3"/>
      <c r="B42" s="3"/>
      <c r="C42" s="3"/>
      <c r="D42" s="3"/>
      <c r="E42" s="3"/>
      <c r="F42" s="3"/>
      <c r="G42" s="3"/>
      <c r="H42" s="3"/>
      <c r="I42" s="3"/>
      <c r="J42" s="3"/>
    </row>
    <row r="43" customFormat="false" ht="15" hidden="false" customHeight="true" outlineLevel="0" collapsed="false">
      <c r="A43" s="5" t="s">
        <v>88</v>
      </c>
      <c r="B43" s="6"/>
      <c r="C43" s="6"/>
      <c r="D43" s="6"/>
      <c r="E43" s="6"/>
      <c r="F43" s="6"/>
      <c r="G43" s="6"/>
      <c r="H43" s="6"/>
      <c r="I43" s="6"/>
      <c r="J43" s="6"/>
    </row>
    <row r="44" customFormat="false" ht="15" hidden="false" customHeight="true" outlineLevel="0" collapsed="false">
      <c r="A44" s="7" t="s">
        <v>4</v>
      </c>
      <c r="B44" s="7" t="s">
        <v>5</v>
      </c>
      <c r="C44" s="7" t="s">
        <v>6</v>
      </c>
      <c r="D44" s="7" t="s">
        <v>7</v>
      </c>
      <c r="E44" s="7" t="s">
        <v>8</v>
      </c>
      <c r="F44" s="7" t="s">
        <v>9</v>
      </c>
      <c r="G44" s="7" t="s">
        <v>10</v>
      </c>
      <c r="H44" s="7" t="s">
        <v>11</v>
      </c>
      <c r="I44" s="7" t="s">
        <v>89</v>
      </c>
      <c r="J44" s="3"/>
    </row>
    <row r="45" customFormat="false" ht="15" hidden="false" customHeight="true" outlineLevel="0" collapsed="false">
      <c r="A45" s="8" t="s">
        <v>90</v>
      </c>
      <c r="B45" s="22" t="n">
        <f aca="false">SUM(B35:B38)</f>
        <v>93</v>
      </c>
      <c r="C45" s="22" t="n">
        <f aca="false">SUM(C35:C38)</f>
        <v>2</v>
      </c>
      <c r="D45" s="22" t="n">
        <f aca="false">SUM(D35:D38)</f>
        <v>35</v>
      </c>
      <c r="E45" s="22" t="n">
        <f aca="false">SUM(E35:E38)</f>
        <v>0</v>
      </c>
      <c r="F45" s="22" t="n">
        <f aca="false">SUM(F35:F38)</f>
        <v>96</v>
      </c>
      <c r="G45" s="22" t="n">
        <f aca="false">SUM(G35:G38)</f>
        <v>0</v>
      </c>
      <c r="H45" s="3" t="s">
        <v>70</v>
      </c>
      <c r="I45" s="3" t="s">
        <v>91</v>
      </c>
      <c r="J45" s="3"/>
    </row>
    <row r="46" customFormat="false" ht="15" hidden="false" customHeight="true" outlineLevel="0" collapsed="false">
      <c r="A46" s="8" t="s">
        <v>92</v>
      </c>
      <c r="B46" s="23" t="n">
        <f aca="false">B7*B45</f>
        <v>325.5</v>
      </c>
      <c r="C46" s="23" t="n">
        <f aca="false">C7*C45</f>
        <v>9.5</v>
      </c>
      <c r="D46" s="23" t="n">
        <f aca="false">D7*D45</f>
        <v>472.5</v>
      </c>
      <c r="E46" s="23" t="n">
        <f aca="false">E7*E45</f>
        <v>0</v>
      </c>
      <c r="F46" s="23" t="n">
        <f aca="false">F7*F45</f>
        <v>192</v>
      </c>
      <c r="G46" s="23" t="n">
        <f aca="false">G7*G45</f>
        <v>0</v>
      </c>
      <c r="H46" s="3" t="s">
        <v>50</v>
      </c>
      <c r="I46" s="3" t="s">
        <v>93</v>
      </c>
      <c r="J46" s="3"/>
    </row>
    <row r="47" customFormat="false" ht="15" hidden="false" customHeight="true" outlineLevel="0" collapsed="false">
      <c r="A47" s="3"/>
      <c r="B47" s="3"/>
      <c r="C47" s="3"/>
      <c r="D47" s="3"/>
      <c r="E47" s="3"/>
      <c r="F47" s="3"/>
      <c r="G47" s="3"/>
      <c r="H47" s="3"/>
      <c r="I47" s="3"/>
      <c r="J47" s="3"/>
    </row>
    <row r="48" customFormat="false" ht="15" hidden="false" customHeight="true" outlineLevel="0" collapsed="false">
      <c r="A48" s="7" t="s">
        <v>4</v>
      </c>
      <c r="B48" s="7" t="s">
        <v>34</v>
      </c>
      <c r="C48" s="7" t="s">
        <v>35</v>
      </c>
      <c r="D48" s="7" t="s">
        <v>36</v>
      </c>
      <c r="E48" s="7" t="s">
        <v>37</v>
      </c>
      <c r="F48" s="7" t="s">
        <v>94</v>
      </c>
      <c r="G48" s="3"/>
      <c r="H48" s="7" t="s">
        <v>11</v>
      </c>
      <c r="I48" s="7" t="s">
        <v>89</v>
      </c>
      <c r="J48" s="3"/>
    </row>
    <row r="49" customFormat="false" ht="15" hidden="false" customHeight="true" outlineLevel="0" collapsed="false">
      <c r="A49" s="8" t="s">
        <v>95</v>
      </c>
      <c r="B49" s="24" t="n">
        <f aca="false">SUMPRODUCT($B$9:$G$9,$B$35:$G$35)</f>
        <v>85.3</v>
      </c>
      <c r="C49" s="24" t="n">
        <f aca="false">SUMPRODUCT($B$10:$G$10,$B$36:$G$36)</f>
        <v>49.5</v>
      </c>
      <c r="D49" s="24" t="n">
        <f aca="false">SUMPRODUCT($B$11:$G$11,$B$37:$G$37)</f>
        <v>15.2</v>
      </c>
      <c r="E49" s="24" t="n">
        <f aca="false">SUMPRODUCT($B$12:$G$12,$B$38:$G$38)</f>
        <v>9.35</v>
      </c>
      <c r="F49" s="3"/>
      <c r="G49" s="3"/>
      <c r="H49" s="3" t="s">
        <v>96</v>
      </c>
      <c r="I49" s="3" t="s">
        <v>97</v>
      </c>
      <c r="J49" s="3"/>
    </row>
    <row r="50" customFormat="false" ht="15" hidden="false" customHeight="true" outlineLevel="0" collapsed="false">
      <c r="A50" s="8" t="s">
        <v>98</v>
      </c>
      <c r="B50" s="24" t="n">
        <f aca="false">IF(B19=0,0,B19*(1-EXP(-B49/B19)))</f>
        <v>35.2583771329983</v>
      </c>
      <c r="C50" s="24" t="n">
        <f aca="false">IF(C19=0,0,C19*(1-EXP(-C49/C19)))</f>
        <v>24.2385027413774</v>
      </c>
      <c r="D50" s="24" t="n">
        <f aca="false">IF(D19=0,0,D19*(1-EXP(-D49/D19)))</f>
        <v>7.81288113047785</v>
      </c>
      <c r="E50" s="24" t="n">
        <f aca="false">IF(E19=0,0,E19*(1-EXP(-E49/E19)))</f>
        <v>8.52781318072981</v>
      </c>
      <c r="F50" s="24" t="n">
        <f aca="false">SUM(B50:E50)</f>
        <v>75.8375741855833</v>
      </c>
      <c r="G50" s="3"/>
      <c r="H50" s="3" t="s">
        <v>99</v>
      </c>
      <c r="I50" s="3" t="s">
        <v>100</v>
      </c>
      <c r="J50" s="3"/>
    </row>
    <row r="51" customFormat="false" ht="15" hidden="false" customHeight="true" outlineLevel="0" collapsed="false">
      <c r="A51" s="8" t="s">
        <v>101</v>
      </c>
      <c r="B51" s="25" t="n">
        <f aca="false">IF(B19=0,0,B50/B19)</f>
        <v>0.881459428324957</v>
      </c>
      <c r="C51" s="25" t="n">
        <f aca="false">IF(C19=0,0,C50/C19)</f>
        <v>0.807950091379246</v>
      </c>
      <c r="D51" s="25" t="n">
        <f aca="false">IF(D19=0,0,D50/D19)</f>
        <v>0.781288113047785</v>
      </c>
      <c r="E51" s="25" t="n">
        <f aca="false">IF(E19=0,0,E50/E19)</f>
        <v>0.170556263614596</v>
      </c>
      <c r="F51" s="3"/>
      <c r="G51" s="3"/>
      <c r="H51" s="3" t="s">
        <v>102</v>
      </c>
      <c r="I51" s="3" t="s">
        <v>103</v>
      </c>
      <c r="J51" s="3"/>
    </row>
    <row r="52" customFormat="false" ht="15" hidden="false" customHeight="true" outlineLevel="0" collapsed="false">
      <c r="A52" s="8" t="s">
        <v>104</v>
      </c>
      <c r="B52" s="24" t="n">
        <f aca="false">B18*B19</f>
        <v>0</v>
      </c>
      <c r="C52" s="24" t="n">
        <f aca="false">C18*C19</f>
        <v>0</v>
      </c>
      <c r="D52" s="24" t="n">
        <f aca="false">D18*D19</f>
        <v>0</v>
      </c>
      <c r="E52" s="24" t="n">
        <f aca="false">E18*E19</f>
        <v>0</v>
      </c>
      <c r="F52" s="3"/>
      <c r="G52" s="3"/>
      <c r="H52" s="3" t="s">
        <v>99</v>
      </c>
      <c r="I52" s="3" t="s">
        <v>105</v>
      </c>
      <c r="J52" s="3"/>
    </row>
    <row r="53" customFormat="false" ht="15" hidden="false" customHeight="true" outlineLevel="0" collapsed="false">
      <c r="A53" s="3"/>
      <c r="B53" s="3"/>
      <c r="C53" s="3"/>
      <c r="D53" s="3"/>
      <c r="E53" s="3"/>
      <c r="F53" s="3"/>
      <c r="G53" s="3"/>
      <c r="H53" s="3"/>
      <c r="I53" s="3"/>
      <c r="J53" s="3"/>
    </row>
    <row r="54" customFormat="false" ht="15" hidden="false" customHeight="true" outlineLevel="0" collapsed="false">
      <c r="A54" s="7" t="s">
        <v>4</v>
      </c>
      <c r="B54" s="7" t="s">
        <v>48</v>
      </c>
      <c r="C54" s="3"/>
      <c r="D54" s="3"/>
      <c r="E54" s="3"/>
      <c r="F54" s="3"/>
      <c r="G54" s="3"/>
      <c r="H54" s="7" t="s">
        <v>11</v>
      </c>
      <c r="I54" s="7" t="s">
        <v>89</v>
      </c>
      <c r="J54" s="3"/>
    </row>
    <row r="55" customFormat="false" ht="15" hidden="false" customHeight="true" outlineLevel="0" collapsed="false">
      <c r="A55" s="8" t="s">
        <v>106</v>
      </c>
      <c r="B55" s="23" t="n">
        <f aca="false">SUMPRODUCT(PRICE,Q_TOTAL)</f>
        <v>999.5</v>
      </c>
      <c r="C55" s="3"/>
      <c r="D55" s="3"/>
      <c r="E55" s="3"/>
      <c r="F55" s="3"/>
      <c r="G55" s="3"/>
      <c r="H55" s="3" t="s">
        <v>50</v>
      </c>
      <c r="I55" s="3" t="s">
        <v>107</v>
      </c>
      <c r="J55" s="3"/>
    </row>
    <row r="56" customFormat="false" ht="15" hidden="false" customHeight="true" outlineLevel="0" collapsed="false">
      <c r="A56" s="8" t="s">
        <v>108</v>
      </c>
      <c r="B56" s="23" t="n">
        <f aca="false">SYS_COST_AEGIS*BUILD_AEGIS+SYS_COST_PATRIOT*BUILD_PATRIOT+SYS_COST_THAAD*BUILD_THAAD</f>
        <v>3000</v>
      </c>
      <c r="C56" s="3"/>
      <c r="D56" s="3"/>
      <c r="E56" s="3"/>
      <c r="F56" s="3"/>
      <c r="G56" s="3"/>
      <c r="H56" s="3" t="s">
        <v>50</v>
      </c>
      <c r="I56" s="3" t="s">
        <v>109</v>
      </c>
      <c r="J56" s="3"/>
    </row>
    <row r="57" customFormat="false" ht="15" hidden="false" customHeight="true" outlineLevel="0" collapsed="false">
      <c r="A57" s="8" t="s">
        <v>110</v>
      </c>
      <c r="B57" s="23" t="n">
        <f aca="false">INTERCEPTOR_SPEND+SYSTEM_SPEND</f>
        <v>3999.5</v>
      </c>
      <c r="C57" s="3"/>
      <c r="D57" s="3"/>
      <c r="E57" s="3"/>
      <c r="F57" s="3"/>
      <c r="G57" s="3"/>
      <c r="H57" s="3" t="s">
        <v>50</v>
      </c>
      <c r="I57" s="3" t="s">
        <v>111</v>
      </c>
      <c r="J57" s="3"/>
    </row>
    <row r="58" customFormat="false" ht="15" hidden="false" customHeight="true" outlineLevel="0" collapsed="false">
      <c r="A58" s="8" t="s">
        <v>112</v>
      </c>
      <c r="B58" s="23" t="n">
        <f aca="false">USE_MIN*BUDGET</f>
        <v>0</v>
      </c>
      <c r="C58" s="3"/>
      <c r="D58" s="3"/>
      <c r="E58" s="3"/>
      <c r="F58" s="3"/>
      <c r="G58" s="3"/>
      <c r="H58" s="3" t="s">
        <v>50</v>
      </c>
      <c r="I58" s="3" t="s">
        <v>113</v>
      </c>
      <c r="J58" s="3"/>
    </row>
    <row r="59" customFormat="false" ht="15" hidden="false" customHeight="true" outlineLevel="0" collapsed="false">
      <c r="A59" s="8" t="s">
        <v>114</v>
      </c>
      <c r="B59" s="23" t="n">
        <f aca="false">BUDGET-TOTAL_SPEND</f>
        <v>0.5</v>
      </c>
      <c r="C59" s="3"/>
      <c r="D59" s="3"/>
      <c r="E59" s="3"/>
      <c r="F59" s="3"/>
      <c r="G59" s="3"/>
      <c r="H59" s="3" t="s">
        <v>50</v>
      </c>
      <c r="I59" s="3" t="s">
        <v>115</v>
      </c>
      <c r="J59" s="3"/>
    </row>
    <row r="60" customFormat="false" ht="15" hidden="false" customHeight="true" outlineLevel="0" collapsed="false">
      <c r="A60" s="8" t="s">
        <v>116</v>
      </c>
      <c r="B60" s="22" t="n">
        <f aca="false">SM2_Q+SM3_Q+SM6_Q</f>
        <v>96</v>
      </c>
      <c r="C60" s="3"/>
      <c r="D60" s="3"/>
      <c r="E60" s="3"/>
      <c r="F60" s="3"/>
      <c r="G60" s="3"/>
      <c r="H60" s="3" t="s">
        <v>117</v>
      </c>
      <c r="I60" s="3" t="s">
        <v>118</v>
      </c>
      <c r="J60" s="3"/>
    </row>
    <row r="61" customFormat="false" ht="15" hidden="false" customHeight="true" outlineLevel="0" collapsed="false">
      <c r="A61" s="8" t="s">
        <v>119</v>
      </c>
      <c r="B61" s="26" t="n">
        <f aca="false">MK41_CELLS*BUILD_AEGIS-AEGIS_CELLS_USED</f>
        <v>0</v>
      </c>
      <c r="C61" s="3"/>
      <c r="D61" s="3"/>
      <c r="E61" s="3"/>
      <c r="F61" s="3"/>
      <c r="G61" s="3"/>
      <c r="H61" s="3" t="s">
        <v>117</v>
      </c>
      <c r="I61" s="3" t="s">
        <v>120</v>
      </c>
      <c r="J61" s="3"/>
    </row>
    <row r="62" customFormat="false" ht="15" hidden="false" customHeight="true" outlineLevel="0" collapsed="false">
      <c r="A62" s="8" t="s">
        <v>121</v>
      </c>
      <c r="B62" s="24" t="n">
        <f aca="false">PAC3_Q/16+MSE_Q/12</f>
        <v>5.97916666666667</v>
      </c>
      <c r="C62" s="3"/>
      <c r="D62" s="3"/>
      <c r="E62" s="3"/>
      <c r="F62" s="3"/>
      <c r="G62" s="3"/>
      <c r="H62" s="3" t="s">
        <v>122</v>
      </c>
      <c r="I62" s="3" t="s">
        <v>123</v>
      </c>
      <c r="J62" s="3"/>
    </row>
    <row r="63" customFormat="false" ht="15" hidden="false" customHeight="true" outlineLevel="0" collapsed="false">
      <c r="A63" s="8" t="s">
        <v>124</v>
      </c>
      <c r="B63" s="24" t="n">
        <f aca="false">PATRIOT_LAUNCHERS*BUILD_PATRIOT-PATRIOT_LAUNCHERS_USED</f>
        <v>0.020833333333333</v>
      </c>
      <c r="C63" s="3"/>
      <c r="D63" s="3"/>
      <c r="E63" s="3"/>
      <c r="F63" s="3"/>
      <c r="G63" s="3"/>
      <c r="H63" s="3" t="s">
        <v>122</v>
      </c>
      <c r="I63" s="3" t="s">
        <v>120</v>
      </c>
      <c r="J63" s="3"/>
    </row>
    <row r="64" customFormat="false" ht="15" hidden="false" customHeight="true" outlineLevel="0" collapsed="false">
      <c r="A64" s="8" t="s">
        <v>125</v>
      </c>
      <c r="B64" s="22" t="n">
        <f aca="false">THAAD_CAP*BUILD_THAAD-THAAD_Q</f>
        <v>13</v>
      </c>
      <c r="C64" s="3"/>
      <c r="D64" s="3"/>
      <c r="E64" s="3"/>
      <c r="F64" s="3"/>
      <c r="G64" s="3"/>
      <c r="H64" s="3" t="s">
        <v>70</v>
      </c>
      <c r="I64" s="3" t="s">
        <v>120</v>
      </c>
      <c r="J64" s="3"/>
    </row>
    <row r="65" customFormat="false" ht="15" hidden="false" customHeight="true" outlineLevel="0" collapsed="false">
      <c r="A65" s="8" t="s">
        <v>126</v>
      </c>
      <c r="B65" s="27" t="n">
        <f aca="false">SUMPRODUCT(W,D)/SUMPRODUCT(W,R)</f>
        <v>0.802430660530486</v>
      </c>
      <c r="C65" s="3"/>
      <c r="D65" s="3"/>
      <c r="E65" s="3"/>
      <c r="F65" s="3"/>
      <c r="G65" s="3"/>
      <c r="H65" s="3" t="s">
        <v>127</v>
      </c>
      <c r="I65" s="3" t="s">
        <v>128</v>
      </c>
      <c r="J65" s="3"/>
    </row>
    <row r="66" customFormat="false" ht="15" hidden="false" customHeight="true" outlineLevel="0" collapsed="false">
      <c r="A66" s="3"/>
      <c r="B66" s="3"/>
      <c r="C66" s="3"/>
      <c r="D66" s="3"/>
      <c r="E66" s="3"/>
      <c r="F66" s="3"/>
      <c r="G66" s="3"/>
      <c r="H66" s="3"/>
      <c r="I66" s="3"/>
      <c r="J66" s="3"/>
    </row>
    <row r="67" customFormat="false" ht="15" hidden="false" customHeight="true" outlineLevel="0" collapsed="false">
      <c r="A67" s="8" t="s">
        <v>129</v>
      </c>
      <c r="B67" s="22" t="n">
        <f aca="false">B13-B45</f>
        <v>407</v>
      </c>
      <c r="C67" s="22" t="n">
        <f aca="false">C13-C45</f>
        <v>498</v>
      </c>
      <c r="D67" s="22" t="n">
        <f aca="false">D13-D45</f>
        <v>465</v>
      </c>
      <c r="E67" s="22" t="n">
        <f aca="false">E13-E45</f>
        <v>500</v>
      </c>
      <c r="F67" s="22" t="n">
        <f aca="false">F13-F45</f>
        <v>404</v>
      </c>
      <c r="G67" s="22" t="n">
        <f aca="false">G13-G45</f>
        <v>500</v>
      </c>
      <c r="H67" s="3" t="s">
        <v>70</v>
      </c>
      <c r="I67" s="3" t="s">
        <v>130</v>
      </c>
      <c r="J67" s="3"/>
    </row>
    <row r="68" customFormat="false" ht="15" hidden="false" customHeight="true" outlineLevel="0" collapsed="false">
      <c r="A68" s="3"/>
      <c r="B68" s="3"/>
      <c r="C68" s="3"/>
      <c r="D68" s="3"/>
      <c r="E68" s="3"/>
      <c r="F68" s="3"/>
      <c r="G68" s="3"/>
      <c r="H68" s="3"/>
      <c r="I68" s="3"/>
      <c r="J68" s="3"/>
    </row>
    <row r="69" customFormat="false" ht="15" hidden="false" customHeight="true" outlineLevel="0" collapsed="false">
      <c r="A69" s="5" t="s">
        <v>131</v>
      </c>
      <c r="B69" s="6"/>
      <c r="C69" s="6"/>
      <c r="D69" s="6"/>
      <c r="E69" s="6"/>
      <c r="F69" s="6"/>
      <c r="G69" s="6"/>
      <c r="H69" s="6"/>
      <c r="I69" s="6"/>
      <c r="J69" s="6"/>
    </row>
    <row r="70" customFormat="false" ht="15" hidden="false" customHeight="true" outlineLevel="0" collapsed="false">
      <c r="A70" s="7" t="s">
        <v>132</v>
      </c>
      <c r="B70" s="7" t="s">
        <v>5</v>
      </c>
      <c r="C70" s="7" t="s">
        <v>6</v>
      </c>
      <c r="D70" s="7" t="s">
        <v>7</v>
      </c>
      <c r="E70" s="7" t="s">
        <v>8</v>
      </c>
      <c r="F70" s="7" t="s">
        <v>9</v>
      </c>
      <c r="G70" s="7" t="s">
        <v>10</v>
      </c>
      <c r="H70" s="7" t="s">
        <v>11</v>
      </c>
      <c r="I70" s="7" t="s">
        <v>133</v>
      </c>
      <c r="J70" s="3"/>
    </row>
    <row r="71" customFormat="false" ht="15" hidden="false" customHeight="true" outlineLevel="0" collapsed="false">
      <c r="A71" s="8" t="s">
        <v>134</v>
      </c>
      <c r="B71" s="28" t="n">
        <f aca="false">IF(B9=0,0,B$17*(B$19*(1-EXP(-(B$49+B9)/B$19))-B$50)/B$7)</f>
        <v>0.201695907495483</v>
      </c>
      <c r="C71" s="28" t="n">
        <f aca="false">IF(C9=0,0,B$17*(B$19*(1-EXP(-(B$49+C9)/B$19))-B$50)/C$7)</f>
        <v>0.185425527024922</v>
      </c>
      <c r="D71" s="28" t="n">
        <f aca="false">IF(D9=0,0,B$17*(B$19*(1-EXP(-(B$49+D9)/B$19))-B$50)/D$7)</f>
        <v>0.069548461811598</v>
      </c>
      <c r="E71" s="28" t="n">
        <f aca="false">IF(E9=0,0,B$17*(B$19*(1-EXP(-(B$49+E9)/B$19))-B$50)/E$7)</f>
        <v>0.0312968078152191</v>
      </c>
      <c r="F71" s="28" t="n">
        <f aca="false">IF(F9=0,0,B$17*(B$19*(1-EXP(-(B$49+F9)/B$19))-B$50)/F$7)</f>
        <v>0</v>
      </c>
      <c r="G71" s="28" t="n">
        <f aca="false">IF(G9=0,0,B$17*(B$19*(1-EXP(-(B$49+G9)/B$19))-B$50)/G$7)</f>
        <v>0.164171087496323</v>
      </c>
      <c r="H71" s="3" t="s">
        <v>135</v>
      </c>
      <c r="I71" s="3" t="s">
        <v>136</v>
      </c>
      <c r="J71" s="3"/>
    </row>
    <row r="72" customFormat="false" ht="15" hidden="false" customHeight="true" outlineLevel="0" collapsed="false">
      <c r="A72" s="8" t="s">
        <v>137</v>
      </c>
      <c r="B72" s="28" t="n">
        <f aca="false">IF(B10=0,0,C$17*(C$19*(1-EXP(-(C$49+B10)/C$19))-C$50)/B$7)</f>
        <v>0.189826651920986</v>
      </c>
      <c r="C72" s="28" t="n">
        <f aca="false">IF(C10=0,0,C$17*(C$19*(1-EXP(-(C$49+C10)/C$19))-C$50)/C$7)</f>
        <v>0.159588929436378</v>
      </c>
      <c r="D72" s="28" t="n">
        <f aca="false">IF(D10=0,0,C$17*(C$19*(1-EXP(-(C$49+D10)/C$19))-C$50)/D$7)</f>
        <v>0</v>
      </c>
      <c r="E72" s="28" t="n">
        <f aca="false">IF(E10=0,0,C$17*(C$19*(1-EXP(-(C$49+E10)/C$19))-C$50)/E$7)</f>
        <v>0</v>
      </c>
      <c r="F72" s="28" t="n">
        <f aca="false">IF(F10=0,0,C$17*(C$19*(1-EXP(-(C$49+F10)/C$19))-C$50)/F$7)</f>
        <v>0.355629685409777</v>
      </c>
      <c r="G72" s="28" t="n">
        <f aca="false">IF(G10=0,0,C$17*(C$19*(1-EXP(-(C$49+G10)/C$19))-C$50)/G$7)</f>
        <v>0.176290096470418</v>
      </c>
      <c r="H72" s="3" t="s">
        <v>135</v>
      </c>
      <c r="I72" s="3" t="s">
        <v>136</v>
      </c>
      <c r="J72" s="3"/>
    </row>
    <row r="73" customFormat="false" ht="15" hidden="false" customHeight="true" outlineLevel="0" collapsed="false">
      <c r="A73" s="8" t="s">
        <v>138</v>
      </c>
      <c r="B73" s="28" t="n">
        <f aca="false">IF(B11=0,0,D$17*(D$19*(1-EXP(-(D$49+B11)/D$19))-D$50)/B$7)</f>
        <v>0.18060981085338</v>
      </c>
      <c r="C73" s="28" t="n">
        <f aca="false">IF(C11=0,0,D$17*(D$19*(1-EXP(-(D$49+C11)/D$19))-D$50)/C$7)</f>
        <v>0.141603107011027</v>
      </c>
      <c r="D73" s="28" t="n">
        <f aca="false">IF(D11=0,0,D$17*(D$19*(1-EXP(-(D$49+D11)/D$19))-D$50)/D$7)</f>
        <v>0</v>
      </c>
      <c r="E73" s="28" t="n">
        <f aca="false">IF(E11=0,0,D$17*(D$19*(1-EXP(-(D$49+E11)/D$19))-D$50)/E$7)</f>
        <v>0</v>
      </c>
      <c r="F73" s="28" t="n">
        <f aca="false">IF(F11=0,0,D$17*(D$19*(1-EXP(-(D$49+F11)/D$19))-D$50)/F$7)</f>
        <v>0.336307379151188</v>
      </c>
      <c r="G73" s="28" t="n">
        <f aca="false">IF(G11=0,0,D$17*(D$19*(1-EXP(-(D$49+G11)/D$19))-D$50)/G$7)</f>
        <v>0.165789135274257</v>
      </c>
      <c r="H73" s="3" t="s">
        <v>135</v>
      </c>
      <c r="I73" s="3" t="s">
        <v>136</v>
      </c>
      <c r="J73" s="3"/>
    </row>
    <row r="74" customFormat="false" ht="15" hidden="false" customHeight="true" outlineLevel="0" collapsed="false">
      <c r="A74" s="8" t="s">
        <v>139</v>
      </c>
      <c r="B74" s="28" t="n">
        <f aca="false">IF(B12=0,0,E$17*(E$19*(1-EXP(-(E$49+B12)/E$19))-E$50)/B$7)</f>
        <v>0.199733788544446</v>
      </c>
      <c r="C74" s="28" t="n">
        <f aca="false">IF(C12=0,0,E$17*(E$19*(1-EXP(-(E$49+C12)/E$19))-E$50)/C$7)</f>
        <v>0</v>
      </c>
      <c r="D74" s="28" t="n">
        <f aca="false">IF(D12=0,0,E$17*(E$19*(1-EXP(-(E$49+D12)/E$19))-E$50)/D$7)</f>
        <v>0</v>
      </c>
      <c r="E74" s="28" t="n">
        <f aca="false">IF(E12=0,0,E$17*(E$19*(1-EXP(-(E$49+E12)/E$19))-E$50)/E$7)</f>
        <v>0</v>
      </c>
      <c r="F74" s="28" t="n">
        <f aca="false">IF(F12=0,0,E$17*(E$19*(1-EXP(-(E$49+F12)/E$19))-E$50)/F$7)</f>
        <v>0.34953412995278</v>
      </c>
      <c r="G74" s="28" t="n">
        <f aca="false">IF(G12=0,0,E$17*(E$19*(1-EXP(-(E$49+G12)/E$19))-E$50)/G$7)</f>
        <v>0.162574013931526</v>
      </c>
      <c r="H74" s="3" t="s">
        <v>135</v>
      </c>
      <c r="I74" s="3" t="s">
        <v>136</v>
      </c>
      <c r="J74" s="3"/>
    </row>
    <row r="75" customFormat="false" ht="15" hidden="false" customHeight="true" outlineLevel="0" collapsed="false">
      <c r="A75" s="3"/>
      <c r="B75" s="3"/>
      <c r="C75" s="3"/>
      <c r="D75" s="3"/>
      <c r="E75" s="3"/>
      <c r="F75" s="3"/>
      <c r="G75" s="3"/>
      <c r="H75" s="3"/>
      <c r="I75" s="3"/>
      <c r="J75" s="3"/>
    </row>
    <row r="76" customFormat="false" ht="15" hidden="false" customHeight="true" outlineLevel="0" collapsed="false">
      <c r="A76" s="4" t="s">
        <v>140</v>
      </c>
      <c r="B76" s="3"/>
      <c r="C76" s="3"/>
      <c r="D76" s="3"/>
      <c r="E76" s="3"/>
      <c r="F76" s="3"/>
      <c r="G76" s="3"/>
      <c r="H76" s="3"/>
      <c r="I76" s="3"/>
      <c r="J76" s="3"/>
    </row>
    <row r="77" customFormat="false" ht="15" hidden="false" customHeight="true" outlineLevel="0" collapsed="false">
      <c r="A77" s="3"/>
      <c r="B77" s="3"/>
      <c r="C77" s="3"/>
      <c r="D77" s="3"/>
      <c r="E77" s="3"/>
      <c r="F77" s="3"/>
      <c r="G77" s="3"/>
      <c r="H77" s="3"/>
      <c r="I77" s="3"/>
      <c r="J77" s="3"/>
    </row>
    <row r="78" customFormat="false" ht="15" hidden="false" customHeight="true" outlineLevel="0" collapsed="false">
      <c r="A78" s="5" t="s">
        <v>141</v>
      </c>
      <c r="B78" s="6"/>
      <c r="C78" s="6"/>
      <c r="D78" s="6"/>
      <c r="E78" s="6"/>
      <c r="F78" s="6"/>
      <c r="G78" s="6"/>
      <c r="H78" s="6"/>
      <c r="I78" s="6"/>
      <c r="J78" s="6"/>
    </row>
    <row r="79" customFormat="false" ht="15" hidden="false" customHeight="true" outlineLevel="0" collapsed="false">
      <c r="A79" s="7" t="s">
        <v>142</v>
      </c>
      <c r="B79" s="7" t="s">
        <v>143</v>
      </c>
      <c r="C79" s="3"/>
      <c r="D79" s="3"/>
      <c r="E79" s="3"/>
      <c r="F79" s="3"/>
      <c r="G79" s="3"/>
      <c r="H79" s="3"/>
      <c r="I79" s="7" t="s">
        <v>144</v>
      </c>
      <c r="J79" s="3"/>
    </row>
    <row r="80" customFormat="false" ht="15" hidden="false" customHeight="true" outlineLevel="0" collapsed="false">
      <c r="A80" s="3" t="s">
        <v>145</v>
      </c>
      <c r="B80" s="29" t="b">
        <f aca="false">TOTAL_SPEND&lt;=BUDGET+0.001</f>
        <v>1</v>
      </c>
      <c r="C80" s="3"/>
      <c r="D80" s="3"/>
      <c r="E80" s="3"/>
      <c r="F80" s="3"/>
      <c r="G80" s="3"/>
      <c r="H80" s="3"/>
      <c r="I80" s="3" t="s">
        <v>146</v>
      </c>
      <c r="J80" s="3"/>
    </row>
    <row r="81" customFormat="false" ht="15" hidden="false" customHeight="true" outlineLevel="0" collapsed="false">
      <c r="A81" s="3" t="s">
        <v>147</v>
      </c>
      <c r="B81" s="29" t="b">
        <f aca="false">TOTAL_SPEND&gt;=SPEND_FLOOR-0.001</f>
        <v>1</v>
      </c>
      <c r="C81" s="3"/>
      <c r="D81" s="3"/>
      <c r="E81" s="3"/>
      <c r="F81" s="3"/>
      <c r="G81" s="3"/>
      <c r="H81" s="3"/>
      <c r="I81" s="3" t="s">
        <v>148</v>
      </c>
      <c r="J81" s="3"/>
    </row>
    <row r="82" customFormat="false" ht="15" hidden="false" customHeight="true" outlineLevel="0" collapsed="false">
      <c r="A82" s="3" t="s">
        <v>149</v>
      </c>
      <c r="B82" s="29" t="b">
        <f aca="false">AEGIS_CELL_SLACK&gt;=-0.001</f>
        <v>1</v>
      </c>
      <c r="C82" s="3"/>
      <c r="D82" s="3"/>
      <c r="E82" s="3"/>
      <c r="F82" s="3"/>
      <c r="G82" s="3"/>
      <c r="H82" s="3"/>
      <c r="I82" s="3" t="s">
        <v>150</v>
      </c>
      <c r="J82" s="3"/>
    </row>
    <row r="83" customFormat="false" ht="15" hidden="false" customHeight="true" outlineLevel="0" collapsed="false">
      <c r="A83" s="3" t="s">
        <v>151</v>
      </c>
      <c r="B83" s="29" t="b">
        <f aca="false">PATRIOT_SLACK&gt;=-0.001</f>
        <v>1</v>
      </c>
      <c r="C83" s="3"/>
      <c r="D83" s="3"/>
      <c r="E83" s="3"/>
      <c r="F83" s="3"/>
      <c r="G83" s="3"/>
      <c r="H83" s="3"/>
      <c r="I83" s="3" t="s">
        <v>152</v>
      </c>
      <c r="J83" s="3"/>
    </row>
    <row r="84" customFormat="false" ht="15" hidden="false" customHeight="true" outlineLevel="0" collapsed="false">
      <c r="A84" s="3" t="s">
        <v>153</v>
      </c>
      <c r="B84" s="29" t="b">
        <f aca="false">THAAD_SLACK&gt;=-0.001</f>
        <v>1</v>
      </c>
      <c r="C84" s="3"/>
      <c r="D84" s="3"/>
      <c r="E84" s="3"/>
      <c r="F84" s="3"/>
      <c r="G84" s="3"/>
      <c r="H84" s="3"/>
      <c r="I84" s="3" t="s">
        <v>154</v>
      </c>
      <c r="J84" s="3"/>
    </row>
    <row r="85" customFormat="false" ht="15" hidden="false" customHeight="true" outlineLevel="0" collapsed="false">
      <c r="A85" s="3" t="s">
        <v>155</v>
      </c>
      <c r="B85" s="29" t="b">
        <f aca="false">MIN(CAP_SLACK)&gt;=0</f>
        <v>1</v>
      </c>
      <c r="C85" s="3"/>
      <c r="D85" s="3"/>
      <c r="E85" s="3"/>
      <c r="F85" s="3"/>
      <c r="G85" s="3"/>
      <c r="H85" s="3"/>
      <c r="I85" s="3" t="s">
        <v>156</v>
      </c>
      <c r="J85" s="3"/>
    </row>
    <row r="86" customFormat="false" ht="15" hidden="false" customHeight="true" outlineLevel="0" collapsed="false">
      <c r="A86" s="3" t="s">
        <v>157</v>
      </c>
      <c r="B86" s="29" t="b">
        <f aca="false">SUMPRODUCT(--(D&lt;MIN_REQUIRED-0.001))=0</f>
        <v>1</v>
      </c>
      <c r="C86" s="3"/>
      <c r="D86" s="3"/>
      <c r="E86" s="3"/>
      <c r="F86" s="3"/>
      <c r="G86" s="3"/>
      <c r="H86" s="3"/>
      <c r="I86" s="3" t="s">
        <v>158</v>
      </c>
      <c r="J86" s="3"/>
    </row>
    <row r="87" customFormat="false" ht="15" hidden="false" customHeight="true" outlineLevel="0" collapsed="false">
      <c r="A87" s="3" t="s">
        <v>159</v>
      </c>
      <c r="B87" s="29" t="b">
        <f aca="false">SUMPRODUCT(--(B9:G12=0),B35:G38)=0</f>
        <v>1</v>
      </c>
      <c r="C87" s="3"/>
      <c r="D87" s="3"/>
      <c r="E87" s="3"/>
      <c r="F87" s="3"/>
      <c r="G87" s="3"/>
      <c r="H87" s="3"/>
      <c r="I87" s="3" t="s">
        <v>160</v>
      </c>
      <c r="J87" s="3"/>
    </row>
    <row r="88" customFormat="false" ht="15" hidden="false" customHeight="true" outlineLevel="0" collapsed="false">
      <c r="A88" s="3" t="s">
        <v>161</v>
      </c>
      <c r="B88" s="29" t="b">
        <f aca="false">SUMPRODUCT(--(B35:G38&lt;&gt;ROUND(B35:G38,0)))=0</f>
        <v>1</v>
      </c>
      <c r="C88" s="3"/>
      <c r="D88" s="3"/>
      <c r="E88" s="3"/>
      <c r="F88" s="3"/>
      <c r="G88" s="3"/>
      <c r="H88" s="3"/>
      <c r="I88" s="3" t="s">
        <v>162</v>
      </c>
      <c r="J88" s="3"/>
    </row>
    <row r="89" customFormat="false" ht="15" hidden="false" customHeight="true" outlineLevel="0" collapsed="false">
      <c r="A89" s="8" t="s">
        <v>163</v>
      </c>
      <c r="B89" s="30" t="b">
        <f aca="false">AND(B80:B88)</f>
        <v>1</v>
      </c>
      <c r="C89" s="3"/>
      <c r="D89" s="3"/>
      <c r="E89" s="3"/>
      <c r="F89" s="3"/>
      <c r="G89" s="3"/>
      <c r="H89" s="3"/>
      <c r="I89" s="3"/>
      <c r="J89" s="3"/>
    </row>
    <row r="90" customFormat="false" ht="15" hidden="false" customHeight="true" outlineLevel="0" collapsed="false">
      <c r="A90" s="3"/>
      <c r="B90" s="3"/>
      <c r="C90" s="3"/>
      <c r="D90" s="3"/>
      <c r="E90" s="3"/>
      <c r="F90" s="3"/>
      <c r="G90" s="3"/>
      <c r="H90" s="3"/>
      <c r="I90" s="3"/>
      <c r="J90" s="3"/>
    </row>
    <row r="91" customFormat="false" ht="15" hidden="false" customHeight="true" outlineLevel="0" collapsed="false">
      <c r="A91" s="5" t="s">
        <v>164</v>
      </c>
      <c r="B91" s="6"/>
      <c r="C91" s="6"/>
      <c r="D91" s="6"/>
      <c r="E91" s="6"/>
      <c r="F91" s="6"/>
      <c r="G91" s="6"/>
      <c r="H91" s="6"/>
      <c r="I91" s="6"/>
      <c r="J91" s="6"/>
    </row>
    <row r="92" customFormat="false" ht="15" hidden="false" customHeight="true" outlineLevel="0" collapsed="false">
      <c r="A92" s="7" t="s">
        <v>165</v>
      </c>
      <c r="B92" s="7" t="s">
        <v>166</v>
      </c>
      <c r="C92" s="7" t="s">
        <v>167</v>
      </c>
      <c r="D92" s="7" t="s">
        <v>168</v>
      </c>
      <c r="E92" s="3"/>
      <c r="F92" s="3"/>
      <c r="G92" s="3"/>
      <c r="H92" s="3"/>
      <c r="I92" s="3"/>
      <c r="J92" s="3"/>
    </row>
    <row r="93" customFormat="false" ht="15" hidden="false" customHeight="true" outlineLevel="0" collapsed="false">
      <c r="A93" s="3" t="s">
        <v>169</v>
      </c>
      <c r="B93" s="28" t="n">
        <f aca="false">20*(1-EXP(-7/20))</f>
        <v>5.90623820562573</v>
      </c>
      <c r="C93" s="11" t="n">
        <v>5.906</v>
      </c>
      <c r="D93" s="29" t="b">
        <f aca="false">ROUND(B93,3)=C93</f>
        <v>1</v>
      </c>
      <c r="E93" s="3"/>
      <c r="F93" s="3"/>
      <c r="G93" s="3"/>
      <c r="H93" s="3"/>
      <c r="I93" s="3"/>
      <c r="J93" s="3"/>
    </row>
    <row r="94" customFormat="false" ht="15" hidden="false" customHeight="true" outlineLevel="0" collapsed="false">
      <c r="A94" s="3" t="s">
        <v>170</v>
      </c>
      <c r="B94" s="28" t="n">
        <f aca="false">20*(1-EXP(-7.7/20))</f>
        <v>6.39098727590825</v>
      </c>
      <c r="C94" s="11" t="n">
        <v>6.391</v>
      </c>
      <c r="D94" s="29" t="b">
        <f aca="false">ROUND(B94,3)=C94</f>
        <v>1</v>
      </c>
      <c r="E94" s="3"/>
      <c r="F94" s="3"/>
      <c r="G94" s="3"/>
      <c r="H94" s="3"/>
      <c r="I94" s="3"/>
      <c r="J94" s="3"/>
    </row>
    <row r="95" customFormat="false" ht="15" hidden="false" customHeight="true" outlineLevel="0" collapsed="false">
      <c r="A95" s="3" t="s">
        <v>171</v>
      </c>
      <c r="B95" s="28" t="n">
        <f aca="false">96/16</f>
        <v>6</v>
      </c>
      <c r="C95" s="11" t="n">
        <v>6</v>
      </c>
      <c r="D95" s="29" t="b">
        <f aca="false">B95=C95</f>
        <v>1</v>
      </c>
      <c r="E95" s="3"/>
      <c r="F95" s="3"/>
      <c r="G95" s="3"/>
      <c r="H95" s="3"/>
      <c r="I95" s="3"/>
      <c r="J95" s="3"/>
    </row>
    <row r="96" customFormat="false" ht="15" hidden="false" customHeight="true" outlineLevel="0" collapsed="false">
      <c r="A96" s="3" t="s">
        <v>172</v>
      </c>
      <c r="B96" s="28" t="n">
        <f aca="false">72/12</f>
        <v>6</v>
      </c>
      <c r="C96" s="11" t="n">
        <v>6</v>
      </c>
      <c r="D96" s="29" t="b">
        <f aca="false">B96=C96</f>
        <v>1</v>
      </c>
      <c r="E96" s="3"/>
      <c r="F96" s="3"/>
      <c r="G96" s="3"/>
      <c r="H96" s="3"/>
      <c r="I96" s="3"/>
      <c r="J96" s="3"/>
    </row>
  </sheetData>
  <dataValidations count="1">
    <dataValidation allowBlank="false" errorStyle="stop" operator="between" showDropDown="false" showErrorMessage="false" showInputMessage="false" sqref="B31" type="list">
      <formula1>Scenarios!$A$5:$A$7</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2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14"/>
    <col collapsed="false" customWidth="true" hidden="false" outlineLevel="0" max="2" min="2" style="1" width="22"/>
    <col collapsed="false" customWidth="true" hidden="false" outlineLevel="0" max="4" min="3" style="1" width="12"/>
    <col collapsed="false" customWidth="true" hidden="false" outlineLevel="0" max="5" min="5" style="1" width="11"/>
    <col collapsed="false" customWidth="true" hidden="false" outlineLevel="0" max="6" min="6" style="1" width="12"/>
    <col collapsed="false" customWidth="true" hidden="false" outlineLevel="0" max="8" min="7" style="1" width="11"/>
    <col collapsed="false" customWidth="true" hidden="false" outlineLevel="0" max="9" min="9" style="1" width="9"/>
    <col collapsed="false" customWidth="true" hidden="false" outlineLevel="0" max="10" min="10" style="1" width="10"/>
    <col collapsed="false" customWidth="true" hidden="false" outlineLevel="0" max="12" min="11" style="1" width="8"/>
  </cols>
  <sheetData>
    <row r="1" customFormat="false" ht="17.25" hidden="false" customHeight="true" outlineLevel="0" collapsed="false">
      <c r="A1" s="2" t="s">
        <v>173</v>
      </c>
    </row>
    <row r="2" customFormat="false" ht="15" hidden="false" customHeight="true" outlineLevel="0" collapsed="false">
      <c r="A2" s="4" t="s">
        <v>174</v>
      </c>
    </row>
    <row r="4" customFormat="false" ht="15" hidden="false" customHeight="true" outlineLevel="0" collapsed="false">
      <c r="A4" s="7" t="s">
        <v>175</v>
      </c>
      <c r="B4" s="7" t="s">
        <v>34</v>
      </c>
      <c r="C4" s="7" t="s">
        <v>35</v>
      </c>
      <c r="D4" s="7" t="s">
        <v>36</v>
      </c>
      <c r="E4" s="7" t="s">
        <v>37</v>
      </c>
      <c r="F4" s="7" t="s">
        <v>176</v>
      </c>
    </row>
    <row r="5" customFormat="false" ht="15" hidden="false" customHeight="true" outlineLevel="0" collapsed="false">
      <c r="A5" s="8" t="s">
        <v>73</v>
      </c>
      <c r="B5" s="11" t="n">
        <v>40</v>
      </c>
      <c r="C5" s="11" t="n">
        <v>30</v>
      </c>
      <c r="D5" s="11" t="n">
        <v>10</v>
      </c>
      <c r="E5" s="11" t="n">
        <v>50</v>
      </c>
      <c r="F5" s="10" t="s">
        <v>177</v>
      </c>
    </row>
    <row r="6" customFormat="false" ht="15" hidden="false" customHeight="true" outlineLevel="0" collapsed="false">
      <c r="A6" s="8" t="s">
        <v>178</v>
      </c>
      <c r="B6" s="11" t="n">
        <v>15</v>
      </c>
      <c r="C6" s="11" t="n">
        <v>80</v>
      </c>
      <c r="D6" s="11" t="n">
        <v>20</v>
      </c>
      <c r="E6" s="11" t="n">
        <v>60</v>
      </c>
      <c r="F6" s="10" t="s">
        <v>179</v>
      </c>
    </row>
    <row r="7" customFormat="false" ht="15" hidden="false" customHeight="true" outlineLevel="0" collapsed="false">
      <c r="A7" s="8" t="s">
        <v>180</v>
      </c>
      <c r="B7" s="11" t="n">
        <v>10</v>
      </c>
      <c r="C7" s="11" t="n">
        <v>30</v>
      </c>
      <c r="D7" s="11" t="n">
        <v>10</v>
      </c>
      <c r="E7" s="11" t="n">
        <v>300</v>
      </c>
      <c r="F7" s="10" t="s">
        <v>181</v>
      </c>
    </row>
    <row r="10" customFormat="false" ht="15" hidden="false" customHeight="true" outlineLevel="0" collapsed="false">
      <c r="A10" s="8" t="s">
        <v>182</v>
      </c>
    </row>
    <row r="11" customFormat="false" ht="15" hidden="false" customHeight="true" outlineLevel="0" collapsed="false">
      <c r="A11" s="4" t="s">
        <v>183</v>
      </c>
    </row>
    <row r="12" customFormat="false" ht="15" hidden="false" customHeight="true" outlineLevel="0" collapsed="false">
      <c r="A12" s="7" t="s">
        <v>184</v>
      </c>
      <c r="B12" s="7" t="s">
        <v>175</v>
      </c>
      <c r="C12" s="7" t="s">
        <v>185</v>
      </c>
      <c r="D12" s="7" t="s">
        <v>186</v>
      </c>
      <c r="E12" s="7" t="s">
        <v>187</v>
      </c>
      <c r="F12" s="7" t="s">
        <v>188</v>
      </c>
      <c r="G12" s="7" t="s">
        <v>5</v>
      </c>
      <c r="H12" s="7" t="s">
        <v>6</v>
      </c>
      <c r="I12" s="7" t="s">
        <v>7</v>
      </c>
      <c r="J12" s="7" t="s">
        <v>8</v>
      </c>
      <c r="K12" s="7" t="s">
        <v>9</v>
      </c>
      <c r="L12" s="7" t="s">
        <v>10</v>
      </c>
    </row>
    <row r="13" customFormat="false" ht="15" hidden="false" customHeight="true" outlineLevel="0" collapsed="false">
      <c r="A13" s="31" t="n">
        <v>2000</v>
      </c>
      <c r="B13" s="10" t="s">
        <v>73</v>
      </c>
      <c r="C13" s="32" t="n">
        <v>0.662881195717702</v>
      </c>
      <c r="D13" s="31" t="n">
        <v>1999.5</v>
      </c>
      <c r="E13" s="10" t="n">
        <v>0</v>
      </c>
      <c r="F13" s="10" t="n">
        <v>1</v>
      </c>
      <c r="G13" s="10" t="n">
        <v>95</v>
      </c>
      <c r="H13" s="10" t="n">
        <v>0</v>
      </c>
      <c r="I13" s="10" t="n">
        <v>42</v>
      </c>
      <c r="J13" s="10" t="n">
        <v>0</v>
      </c>
      <c r="K13" s="10" t="n">
        <v>0</v>
      </c>
      <c r="L13" s="10" t="n">
        <v>0</v>
      </c>
    </row>
    <row r="14" customFormat="false" ht="15" hidden="false" customHeight="true" outlineLevel="0" collapsed="false">
      <c r="A14" s="31" t="n">
        <v>2000</v>
      </c>
      <c r="B14" s="10" t="s">
        <v>178</v>
      </c>
      <c r="C14" s="32" t="n">
        <v>0.537203123479686</v>
      </c>
      <c r="D14" s="31" t="n">
        <v>1989.5</v>
      </c>
      <c r="E14" s="10" t="n">
        <v>0</v>
      </c>
      <c r="F14" s="10" t="n">
        <v>1</v>
      </c>
      <c r="G14" s="10" t="n">
        <v>96</v>
      </c>
      <c r="H14" s="10" t="n">
        <v>0</v>
      </c>
      <c r="I14" s="10" t="n">
        <v>41</v>
      </c>
      <c r="J14" s="10" t="n">
        <v>0</v>
      </c>
      <c r="K14" s="10" t="n">
        <v>0</v>
      </c>
      <c r="L14" s="10" t="n">
        <v>0</v>
      </c>
    </row>
    <row r="15" customFormat="false" ht="15" hidden="false" customHeight="true" outlineLevel="0" collapsed="false">
      <c r="A15" s="31" t="n">
        <v>2000</v>
      </c>
      <c r="B15" s="10" t="s">
        <v>180</v>
      </c>
      <c r="C15" s="32" t="n">
        <v>0.430278691753603</v>
      </c>
      <c r="D15" s="31" t="n">
        <v>1989.5</v>
      </c>
      <c r="E15" s="10" t="n">
        <v>0</v>
      </c>
      <c r="F15" s="10" t="n">
        <v>1</v>
      </c>
      <c r="G15" s="10" t="n">
        <v>96</v>
      </c>
      <c r="H15" s="10" t="n">
        <v>0</v>
      </c>
      <c r="I15" s="10" t="n">
        <v>41</v>
      </c>
      <c r="J15" s="10" t="n">
        <v>0</v>
      </c>
      <c r="K15" s="10" t="n">
        <v>0</v>
      </c>
      <c r="L15" s="10" t="n">
        <v>0</v>
      </c>
    </row>
    <row r="16" customFormat="false" ht="15" hidden="false" customHeight="true" outlineLevel="0" collapsed="false">
      <c r="A16" s="31" t="n">
        <v>4000</v>
      </c>
      <c r="B16" s="10" t="s">
        <v>73</v>
      </c>
      <c r="C16" s="32" t="n">
        <v>0.802430660530486</v>
      </c>
      <c r="D16" s="31" t="n">
        <v>3999.5</v>
      </c>
      <c r="E16" s="10" t="n">
        <v>1</v>
      </c>
      <c r="F16" s="10" t="n">
        <v>1</v>
      </c>
      <c r="G16" s="10" t="n">
        <v>93</v>
      </c>
      <c r="H16" s="10" t="n">
        <v>2</v>
      </c>
      <c r="I16" s="10" t="n">
        <v>35</v>
      </c>
      <c r="J16" s="10" t="n">
        <v>0</v>
      </c>
      <c r="K16" s="10" t="n">
        <v>96</v>
      </c>
      <c r="L16" s="10" t="n">
        <v>0</v>
      </c>
    </row>
    <row r="17" customFormat="false" ht="15" hidden="false" customHeight="true" outlineLevel="0" collapsed="false">
      <c r="A17" s="31" t="n">
        <v>4000</v>
      </c>
      <c r="B17" s="10" t="s">
        <v>178</v>
      </c>
      <c r="C17" s="32" t="n">
        <v>0.709564340374641</v>
      </c>
      <c r="D17" s="31" t="n">
        <v>3999.5</v>
      </c>
      <c r="E17" s="10" t="n">
        <v>1</v>
      </c>
      <c r="F17" s="10" t="n">
        <v>1</v>
      </c>
      <c r="G17" s="10" t="n">
        <v>93</v>
      </c>
      <c r="H17" s="10" t="n">
        <v>2</v>
      </c>
      <c r="I17" s="10" t="n">
        <v>35</v>
      </c>
      <c r="J17" s="10" t="n">
        <v>0</v>
      </c>
      <c r="K17" s="10" t="n">
        <v>96</v>
      </c>
      <c r="L17" s="10" t="n">
        <v>0</v>
      </c>
    </row>
    <row r="18" customFormat="false" ht="15" hidden="false" customHeight="true" outlineLevel="0" collapsed="false">
      <c r="A18" s="31" t="n">
        <v>4000</v>
      </c>
      <c r="B18" s="10" t="s">
        <v>180</v>
      </c>
      <c r="C18" s="32" t="n">
        <v>0.55048117908778</v>
      </c>
      <c r="D18" s="31" t="n">
        <v>3998.5</v>
      </c>
      <c r="E18" s="10" t="n">
        <v>1</v>
      </c>
      <c r="F18" s="10" t="n">
        <v>1</v>
      </c>
      <c r="G18" s="10" t="n">
        <v>96</v>
      </c>
      <c r="H18" s="10" t="n">
        <v>0</v>
      </c>
      <c r="I18" s="10" t="n">
        <v>34</v>
      </c>
      <c r="J18" s="10" t="n">
        <v>0</v>
      </c>
      <c r="K18" s="10" t="n">
        <v>91</v>
      </c>
      <c r="L18" s="10" t="n">
        <v>5</v>
      </c>
    </row>
    <row r="19" customFormat="false" ht="15" hidden="false" customHeight="true" outlineLevel="0" collapsed="false">
      <c r="A19" s="31" t="n">
        <v>6000</v>
      </c>
      <c r="B19" s="10" t="s">
        <v>73</v>
      </c>
      <c r="C19" s="32" t="n">
        <v>0.83922551387422</v>
      </c>
      <c r="D19" s="31" t="n">
        <v>5990.2</v>
      </c>
      <c r="E19" s="10" t="n">
        <v>1</v>
      </c>
      <c r="F19" s="10" t="n">
        <v>1</v>
      </c>
      <c r="G19" s="10" t="n">
        <v>96</v>
      </c>
      <c r="H19" s="10" t="n">
        <v>0</v>
      </c>
      <c r="I19" s="10" t="n">
        <v>48</v>
      </c>
      <c r="J19" s="10" t="n">
        <v>62</v>
      </c>
      <c r="K19" s="10" t="n">
        <v>0</v>
      </c>
      <c r="L19" s="10" t="n">
        <v>34</v>
      </c>
    </row>
    <row r="20" customFormat="false" ht="15" hidden="false" customHeight="true" outlineLevel="0" collapsed="false">
      <c r="A20" s="31" t="n">
        <v>6000</v>
      </c>
      <c r="B20" s="10" t="s">
        <v>178</v>
      </c>
      <c r="C20" s="32" t="n">
        <v>0.735025132187597</v>
      </c>
      <c r="D20" s="31" t="n">
        <v>4396.8</v>
      </c>
      <c r="E20" s="10" t="n">
        <v>1</v>
      </c>
      <c r="F20" s="10" t="n">
        <v>1</v>
      </c>
      <c r="G20" s="10" t="n">
        <v>96</v>
      </c>
      <c r="H20" s="10" t="n">
        <v>0</v>
      </c>
      <c r="I20" s="10" t="n">
        <v>48</v>
      </c>
      <c r="J20" s="10" t="n">
        <v>0</v>
      </c>
      <c r="K20" s="10" t="n">
        <v>0</v>
      </c>
      <c r="L20" s="10" t="n">
        <v>96</v>
      </c>
    </row>
    <row r="21" customFormat="false" ht="15" hidden="false" customHeight="true" outlineLevel="0" collapsed="false">
      <c r="A21" s="31" t="n">
        <v>6000</v>
      </c>
      <c r="B21" s="10" t="s">
        <v>180</v>
      </c>
      <c r="C21" s="32" t="n">
        <v>0.563818275689541</v>
      </c>
      <c r="D21" s="31" t="n">
        <v>4380.7</v>
      </c>
      <c r="E21" s="10" t="n">
        <v>1</v>
      </c>
      <c r="F21" s="10" t="n">
        <v>1</v>
      </c>
      <c r="G21" s="10" t="n">
        <v>96</v>
      </c>
      <c r="H21" s="10" t="n">
        <v>0</v>
      </c>
      <c r="I21" s="10" t="n">
        <v>48</v>
      </c>
      <c r="J21" s="10" t="n">
        <v>0</v>
      </c>
      <c r="K21" s="10" t="n">
        <v>7</v>
      </c>
      <c r="L21" s="10" t="n">
        <v>89</v>
      </c>
    </row>
    <row r="22" customFormat="false" ht="15" hidden="false" customHeight="true" outlineLevel="0" collapsed="false">
      <c r="A22" s="31" t="n">
        <v>6000</v>
      </c>
      <c r="B22" s="10" t="s">
        <v>189</v>
      </c>
      <c r="C22" s="32" t="n">
        <v>0.83922551387422</v>
      </c>
      <c r="D22" s="31" t="n">
        <v>5990.2</v>
      </c>
      <c r="E22" s="10" t="n">
        <v>1</v>
      </c>
      <c r="F22" s="10" t="n">
        <v>1</v>
      </c>
      <c r="G22" s="10" t="n">
        <v>96</v>
      </c>
      <c r="H22" s="10" t="n">
        <v>0</v>
      </c>
      <c r="I22" s="10" t="n">
        <v>48</v>
      </c>
      <c r="J22" s="10" t="n">
        <v>62</v>
      </c>
      <c r="K22" s="10" t="n">
        <v>0</v>
      </c>
      <c r="L22" s="10" t="n">
        <v>34</v>
      </c>
    </row>
    <row r="24" customFormat="false" ht="15" hidden="false" customHeight="true" outlineLevel="0" collapsed="false">
      <c r="A24" s="4" t="s">
        <v>190</v>
      </c>
    </row>
    <row r="26" customFormat="false" ht="15" hidden="false" customHeight="true" outlineLevel="0" collapsed="false">
      <c r="A26" s="8" t="s">
        <v>191</v>
      </c>
    </row>
    <row r="27" customFormat="false" ht="15" hidden="false" customHeight="true" outlineLevel="0" collapsed="false">
      <c r="A27" s="7" t="s">
        <v>184</v>
      </c>
      <c r="B27" s="7" t="s">
        <v>175</v>
      </c>
      <c r="C27" s="7" t="s">
        <v>52</v>
      </c>
      <c r="D27" s="7" t="s">
        <v>185</v>
      </c>
      <c r="E27" s="7" t="s">
        <v>186</v>
      </c>
      <c r="F27" s="7" t="s">
        <v>192</v>
      </c>
      <c r="G27" s="7" t="s">
        <v>193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2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18"/>
    <col collapsed="false" customWidth="true" hidden="false" outlineLevel="0" max="2" min="2" style="1" width="150"/>
  </cols>
  <sheetData>
    <row r="1" customFormat="false" ht="17.25" hidden="false" customHeight="true" outlineLevel="0" collapsed="false">
      <c r="A1" s="2" t="s">
        <v>194</v>
      </c>
    </row>
    <row r="3" customFormat="false" ht="15" hidden="false" customHeight="true" outlineLevel="0" collapsed="false">
      <c r="A3" s="8" t="s">
        <v>195</v>
      </c>
      <c r="B3" s="10" t="s">
        <v>196</v>
      </c>
    </row>
    <row r="4" customFormat="false" ht="15" hidden="false" customHeight="true" outlineLevel="0" collapsed="false">
      <c r="A4" s="8" t="s">
        <v>197</v>
      </c>
      <c r="B4" s="10" t="s">
        <v>198</v>
      </c>
    </row>
    <row r="5" customFormat="false" ht="15" hidden="false" customHeight="true" outlineLevel="0" collapsed="false">
      <c r="A5" s="8" t="s">
        <v>199</v>
      </c>
      <c r="B5" s="10" t="s">
        <v>200</v>
      </c>
    </row>
    <row r="6" customFormat="false" ht="15" hidden="false" customHeight="true" outlineLevel="0" collapsed="false">
      <c r="A6" s="8" t="s">
        <v>201</v>
      </c>
      <c r="B6" s="10" t="s">
        <v>202</v>
      </c>
    </row>
    <row r="7" customFormat="false" ht="15" hidden="false" customHeight="true" outlineLevel="0" collapsed="false">
      <c r="A7" s="8" t="s">
        <v>203</v>
      </c>
      <c r="B7" s="10" t="s">
        <v>204</v>
      </c>
    </row>
    <row r="8" customFormat="false" ht="15" hidden="false" customHeight="true" outlineLevel="0" collapsed="false">
      <c r="A8" s="8" t="s">
        <v>205</v>
      </c>
      <c r="B8" s="10" t="s">
        <v>206</v>
      </c>
    </row>
    <row r="9" customFormat="false" ht="15" hidden="false" customHeight="true" outlineLevel="0" collapsed="false">
      <c r="A9" s="8" t="s">
        <v>207</v>
      </c>
      <c r="B9" s="10" t="s">
        <v>208</v>
      </c>
    </row>
    <row r="10" customFormat="false" ht="15" hidden="false" customHeight="true" outlineLevel="0" collapsed="false">
      <c r="A10" s="8" t="s">
        <v>209</v>
      </c>
      <c r="B10" s="10" t="s">
        <v>210</v>
      </c>
    </row>
    <row r="11" customFormat="false" ht="15" hidden="false" customHeight="true" outlineLevel="0" collapsed="false">
      <c r="A11" s="8" t="s">
        <v>211</v>
      </c>
      <c r="B11" s="10" t="s">
        <v>212</v>
      </c>
    </row>
    <row r="12" customFormat="false" ht="15" hidden="false" customHeight="true" outlineLevel="0" collapsed="false">
      <c r="A12" s="8" t="s">
        <v>213</v>
      </c>
      <c r="B12" s="10" t="s">
        <v>214</v>
      </c>
    </row>
    <row r="13" customFormat="false" ht="15" hidden="false" customHeight="true" outlineLevel="0" collapsed="false">
      <c r="A13" s="8" t="s">
        <v>215</v>
      </c>
      <c r="B13" s="10" t="s">
        <v>216</v>
      </c>
    </row>
    <row r="14" customFormat="false" ht="15" hidden="false" customHeight="true" outlineLevel="0" collapsed="false">
      <c r="A14" s="8" t="s">
        <v>217</v>
      </c>
      <c r="B14" s="10" t="s">
        <v>218</v>
      </c>
    </row>
    <row r="15" customFormat="false" ht="15" hidden="false" customHeight="true" outlineLevel="0" collapsed="false">
      <c r="A15" s="8" t="s">
        <v>219</v>
      </c>
      <c r="B15" s="10" t="s">
        <v>220</v>
      </c>
    </row>
    <row r="16" customFormat="false" ht="15" hidden="false" customHeight="true" outlineLevel="0" collapsed="false">
      <c r="A16" s="8"/>
      <c r="B16" s="10"/>
    </row>
    <row r="17" customFormat="false" ht="15" hidden="false" customHeight="true" outlineLevel="0" collapsed="false">
      <c r="A17" s="8" t="s">
        <v>221</v>
      </c>
      <c r="B17" s="10" t="s">
        <v>222</v>
      </c>
    </row>
    <row r="18" customFormat="false" ht="15" hidden="false" customHeight="true" outlineLevel="0" collapsed="false">
      <c r="A18" s="8" t="s">
        <v>223</v>
      </c>
      <c r="B18" s="10" t="s">
        <v>224</v>
      </c>
    </row>
    <row r="19" customFormat="false" ht="15" hidden="false" customHeight="true" outlineLevel="0" collapsed="false">
      <c r="A19" s="8" t="s">
        <v>225</v>
      </c>
      <c r="B19" s="10" t="s">
        <v>226</v>
      </c>
    </row>
    <row r="20" customFormat="false" ht="15" hidden="false" customHeight="true" outlineLevel="0" collapsed="false">
      <c r="A20" s="8" t="s">
        <v>227</v>
      </c>
      <c r="B20" s="10" t="s">
        <v>228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2026-10-02T06:21:10Z</dcterms:created>
  <dc:creator>openpyxl</dc:creator>
  <dc:description/>
  <dc:language>en-US</dc:language>
  <cp:lastModifiedBy/>
  <dcterms:modified xsi:type="dcterms:W3CDTF">2026-10-02T06:22:16Z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