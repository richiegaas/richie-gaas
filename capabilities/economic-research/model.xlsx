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ichi\AppData\Local\Temp\mx\"/>
    </mc:Choice>
  </mc:AlternateContent>
  <xr:revisionPtr revIDLastSave="0" documentId="8_{42BD17A9-959F-47D2-8804-EA03A9B39F73}" xr6:coauthVersionLast="47" xr6:coauthVersionMax="47" xr10:uidLastSave="{00000000-0000-0000-0000-000000000000}"/>
  <bookViews>
    <workbookView xWindow="-96" yWindow="-96" windowWidth="23232" windowHeight="12432" tabRatio="500" xr2:uid="{00000000-000D-0000-FFFF-FFFF00000000}"/>
  </bookViews>
  <sheets>
    <sheet name="Model" sheetId="1" r:id="rId1"/>
    <sheet name="Scenarios" sheetId="2" r:id="rId2"/>
    <sheet name="Solver Model" sheetId="3" r:id="rId3"/>
  </sheets>
  <definedNames>
    <definedName name="ACTIVE_RAID">Model!$B$31</definedName>
    <definedName name="AEGIS_CELL_SLACK">Model!$B$61</definedName>
    <definedName name="AEGIS_CELLS_USED">Model!$B$60</definedName>
    <definedName name="AEGIS_SITES">Model!$B$103</definedName>
    <definedName name="ALL_VALID">Model!$B$89</definedName>
    <definedName name="BUDGET">Model!$B$23</definedName>
    <definedName name="BUILD_AEGIS">Model!$B$41</definedName>
    <definedName name="BUILD_THAAD">Model!$D$41</definedName>
    <definedName name="CAP">Model!$B$13:$G$13</definedName>
    <definedName name="CAP_SLACK">Model!$B$67:$G$67</definedName>
    <definedName name="COVERED_FRACTION">Model!$B$116</definedName>
    <definedName name="D">Model!$B$50:$E$50</definedName>
    <definedName name="D_COVERED">Model!$B$125:$E$125</definedName>
    <definedName name="D_UNCOVERED">Model!$B$126:$E$126</definedName>
    <definedName name="EFF_COVERED">Model!$B$123:$E$123</definedName>
    <definedName name="EFF_UNCOVERED">Model!$B$124:$E$124</definedName>
    <definedName name="FLOOR">Model!$B$18:$E$18</definedName>
    <definedName name="INTERCEPTOR_SPEND">Model!$B$55</definedName>
    <definedName name="MIN_REQUIRED">Model!$B$52:$E$52</definedName>
    <definedName name="MK41_CELLS">Model!$B$28</definedName>
    <definedName name="MSE_CAP">Model!$C$13</definedName>
    <definedName name="MSE_PK_ABT">Model!$C$11</definedName>
    <definedName name="MSE_PK_BM">Model!$C$9</definedName>
    <definedName name="MSE_PK_CM">Model!$C$10</definedName>
    <definedName name="MSE_PK_UAS">Model!$C$12</definedName>
    <definedName name="MSE_PRICE">Model!$C$7</definedName>
    <definedName name="MSE_Q">Model!$C$45</definedName>
    <definedName name="MSE_SYSTEM">Model!$C$8</definedName>
    <definedName name="PAC3_CAP">Model!$B$13</definedName>
    <definedName name="PAC3_PK_ABT">Model!$B$11</definedName>
    <definedName name="PAC3_PK_BM">Model!$B$9</definedName>
    <definedName name="PAC3_PK_CM">Model!$B$10</definedName>
    <definedName name="PAC3_PK_UAS">Model!$B$12</definedName>
    <definedName name="PAC3_PRICE">Model!$B$7</definedName>
    <definedName name="PAC3_Q">Model!$B$45</definedName>
    <definedName name="PAC3_SYSTEM">Model!$B$8</definedName>
    <definedName name="PATRIOT_BATTERIES">Model!$C$41</definedName>
    <definedName name="PATRIOT_LAUNCHERS">Model!$B$29</definedName>
    <definedName name="PATRIOT_LAUNCHERS_USED">Model!$B$62</definedName>
    <definedName name="PATRIOT_MAX">Model!$B$102</definedName>
    <definedName name="PATRIOT_SITES_COVERED">Model!$B$115</definedName>
    <definedName name="PATRIOT_SLACK">Model!$B$63</definedName>
    <definedName name="PK_ABT">Model!$B$11:$G$11</definedName>
    <definedName name="PK_BM">Model!$B$9:$G$9</definedName>
    <definedName name="PK_CM">Model!$B$10:$G$10</definedName>
    <definedName name="PK_UAS">Model!$B$12:$G$12</definedName>
    <definedName name="PRICE">Model!$B$7:$G$7</definedName>
    <definedName name="PROTECTION">Model!$B$65</definedName>
    <definedName name="Q_TOTAL">Model!$B$45:$G$45</definedName>
    <definedName name="QC">Model!$B$108:$G$111</definedName>
    <definedName name="QC_SLACK">Model!$B$118</definedName>
    <definedName name="QU">Model!$B$35:$G$38</definedName>
    <definedName name="R_ABT">Model!$D$19</definedName>
    <definedName name="R_BM">Model!$B$19</definedName>
    <definedName name="R_CM">Model!$C$19</definedName>
    <definedName name="R_COVERED">Model!$B$121:$E$121</definedName>
    <definedName name="R_UAS">Model!$E$19</definedName>
    <definedName name="R_UNCOVERED">Model!$B$122:$E$122</definedName>
    <definedName name="RAID_SIZE">Model!$B$19:$E$19</definedName>
    <definedName name="SITES">Model!$B$100</definedName>
    <definedName name="SITES_PER_PATRIOT">Model!$B$101</definedName>
    <definedName name="SM2_CAP">Model!$F$13</definedName>
    <definedName name="SM2_PK_ABT">Model!$F$11</definedName>
    <definedName name="SM2_PK_BM">Model!$F$9</definedName>
    <definedName name="SM2_PK_CM">Model!$F$10</definedName>
    <definedName name="SM2_PK_UAS">Model!$F$12</definedName>
    <definedName name="SM2_PRICE">Model!$F$7</definedName>
    <definedName name="SM2_Q">Model!$F$45</definedName>
    <definedName name="SM2_SYSTEM">Model!$F$8</definedName>
    <definedName name="SM3_CAP">Model!$E$13</definedName>
    <definedName name="SM3_PK_ABT">Model!$E$11</definedName>
    <definedName name="SM3_PK_BM">Model!$E$9</definedName>
    <definedName name="SM3_PK_CM">Model!$E$10</definedName>
    <definedName name="SM3_PK_UAS">Model!$E$12</definedName>
    <definedName name="SM3_PRICE">Model!$E$7</definedName>
    <definedName name="SM3_Q">Model!$E$45</definedName>
    <definedName name="SM3_SYSTEM">Model!$E$8</definedName>
    <definedName name="SM6_CAP">Model!$G$13</definedName>
    <definedName name="SM6_PK_ABT">Model!$G$11</definedName>
    <definedName name="SM6_PK_BM">Model!$G$9</definedName>
    <definedName name="SM6_PK_CM">Model!$G$10</definedName>
    <definedName name="SM6_PK_UAS">Model!$G$12</definedName>
    <definedName name="SM6_PRICE">Model!$G$7</definedName>
    <definedName name="SM6_Q">Model!$G$45</definedName>
    <definedName name="SM6_SYSTEM">Model!$G$8</definedName>
    <definedName name="solver_adj" localSheetId="0">Model!$B$35:$G$38,Model!$B$108:$G$111,Model!$B$41:$C$41</definedName>
    <definedName name="solver_cvg" localSheetId="0" hidden="1">0.0001</definedName>
    <definedName name="solver_drv" localSheetId="0" hidden="1">1</definedName>
    <definedName name="solver_eng" localSheetId="0" hidden="1">1</definedName>
    <definedName name="solver_est" localSheetId="0" hidden="1">1</definedName>
    <definedName name="solver_itr" localSheetId="0" hidden="1">2147483647</definedName>
    <definedName name="solver_lhs1" localSheetId="0" hidden="1">Model!$B$35:$G$38</definedName>
    <definedName name="solver_lhs10" localSheetId="0" hidden="1">Model!$B$50:$E$50</definedName>
    <definedName name="solver_lhs11" localSheetId="0">Model!$B$108:$G$111</definedName>
    <definedName name="solver_lhs12" localSheetId="0">Model!$B$108:$G$111</definedName>
    <definedName name="solver_lhs13" localSheetId="0">Model!$C$41</definedName>
    <definedName name="solver_lhs14" localSheetId="0">Model!$C$41</definedName>
    <definedName name="solver_lhs15" localSheetId="0">Model!$C$41</definedName>
    <definedName name="solver_lhs16" localSheetId="0">Model!$B$35:$C$38</definedName>
    <definedName name="solver_lhs17" localSheetId="0">Model!$B$118</definedName>
    <definedName name="solver_lhs2" localSheetId="0" hidden="1">Model!$B$35:$G$38</definedName>
    <definedName name="solver_lhs3" localSheetId="0">Model!$B$41</definedName>
    <definedName name="solver_lhs4" localSheetId="0" hidden="1">Model!$B$57</definedName>
    <definedName name="solver_lhs5" localSheetId="0" hidden="1">Model!$B$57</definedName>
    <definedName name="solver_lhs6" localSheetId="0" hidden="1">Model!$B$61</definedName>
    <definedName name="solver_lhs7" localSheetId="0" hidden="1">Model!$B$63</definedName>
    <definedName name="solver_lhs8" localSheetId="0" hidden="1">Model!$B$64</definedName>
    <definedName name="solver_lhs9" localSheetId="0" hidden="1">Model!$B$67:$G$67</definedName>
    <definedName name="solver_lin" localSheetId="0" hidden="1">2</definedName>
    <definedName name="solver_mip" localSheetId="0" hidden="1">2147483647</definedName>
    <definedName name="solver_msl" localSheetId="0" hidden="1">1</definedName>
    <definedName name="solver_neg" localSheetId="0" hidden="1">1</definedName>
    <definedName name="solver_nod" localSheetId="0" hidden="1">2147483647</definedName>
    <definedName name="solver_num" localSheetId="0">17</definedName>
    <definedName name="solver_opt" localSheetId="0" hidden="1">Model!$B$65</definedName>
    <definedName name="solver_pre" localSheetId="0" hidden="1">0.000001</definedName>
    <definedName name="solver_rbv" localSheetId="0" hidden="1">1</definedName>
    <definedName name="solver_rel1" localSheetId="0" hidden="1">4</definedName>
    <definedName name="solver_rel10" localSheetId="0" hidden="1">3</definedName>
    <definedName name="solver_rel11" localSheetId="0">4</definedName>
    <definedName name="solver_rel12" localSheetId="0">3</definedName>
    <definedName name="solver_rel13" localSheetId="0">4</definedName>
    <definedName name="solver_rel14" localSheetId="0">3</definedName>
    <definedName name="solver_rel15" localSheetId="0">1</definedName>
    <definedName name="solver_rel16" localSheetId="0">2</definedName>
    <definedName name="solver_rel17" localSheetId="0">3</definedName>
    <definedName name="solver_rel2" localSheetId="0" hidden="1">3</definedName>
    <definedName name="solver_rel3" localSheetId="0" hidden="1">5</definedName>
    <definedName name="solver_rel4" localSheetId="0" hidden="1">1</definedName>
    <definedName name="solver_rel5" localSheetId="0" hidden="1">3</definedName>
    <definedName name="solver_rel6" localSheetId="0" hidden="1">3</definedName>
    <definedName name="solver_rel7" localSheetId="0" hidden="1">3</definedName>
    <definedName name="solver_rel8" localSheetId="0" hidden="1">3</definedName>
    <definedName name="solver_rel9" localSheetId="0" hidden="1">3</definedName>
    <definedName name="solver_rhs1" localSheetId="0" hidden="1">"integer"</definedName>
    <definedName name="solver_rhs10" localSheetId="0" hidden="1">Model!$B$52:$E$52</definedName>
    <definedName name="solver_rhs11" localSheetId="0">"integer"</definedName>
    <definedName name="solver_rhs12" localSheetId="0">0</definedName>
    <definedName name="solver_rhs13" localSheetId="0">"integer"</definedName>
    <definedName name="solver_rhs14" localSheetId="0">0</definedName>
    <definedName name="solver_rhs15" localSheetId="0">Model!$B$102</definedName>
    <definedName name="solver_rhs16" localSheetId="0">0</definedName>
    <definedName name="solver_rhs17" localSheetId="0">0</definedName>
    <definedName name="solver_rhs2" localSheetId="0" hidden="1">0</definedName>
    <definedName name="solver_rhs3" localSheetId="0" hidden="1">"binary"</definedName>
    <definedName name="solver_rhs4" localSheetId="0" hidden="1">Model!$B$23</definedName>
    <definedName name="solver_rhs5" localSheetId="0" hidden="1">Model!$B$58</definedName>
    <definedName name="solver_rhs6" localSheetId="0" hidden="1">0</definedName>
    <definedName name="solver_rhs7" localSheetId="0" hidden="1">0</definedName>
    <definedName name="solver_rhs8" localSheetId="0" hidden="1">0</definedName>
    <definedName name="solver_rhs9" localSheetId="0" hidden="1">0</definedName>
    <definedName name="solver_rlx" localSheetId="0" hidden="1">2</definedName>
    <definedName name="solver_rsd" localSheetId="0" hidden="1">0</definedName>
    <definedName name="solver_scl" localSheetId="0" hidden="1">1</definedName>
    <definedName name="solver_sho" localSheetId="0" hidden="1">2</definedName>
    <definedName name="solver_ssz" localSheetId="0" hidden="1">100</definedName>
    <definedName name="solver_tim" localSheetId="0" hidden="1">2147483647</definedName>
    <definedName name="solver_tol" localSheetId="0" hidden="1">0</definedName>
    <definedName name="solver_typ" localSheetId="0" hidden="1">1</definedName>
    <definedName name="solver_val" localSheetId="0" hidden="1">0</definedName>
    <definedName name="solver_ver" localSheetId="0" hidden="1">3</definedName>
    <definedName name="SPEND_FLOOR">Model!$B$58</definedName>
    <definedName name="SYS_COST_AEGIS">Model!$B$25</definedName>
    <definedName name="SYS_COST_PATRIOT">Model!$B$26</definedName>
    <definedName name="SYS_COST_THAAD">Model!$B$27</definedName>
    <definedName name="SYSTEM">Model!$B$8:$G$8</definedName>
    <definedName name="SYSTEM_SPEND">Model!$B$56</definedName>
    <definedName name="THAAD_CAP">Model!$B$30</definedName>
    <definedName name="THAAD_PK_ABT">Model!$D$11</definedName>
    <definedName name="THAAD_PK_BM">Model!$D$9</definedName>
    <definedName name="THAAD_PK_CM">Model!$D$10</definedName>
    <definedName name="THAAD_PK_UAS">Model!$D$12</definedName>
    <definedName name="THAAD_PRICE">Model!$D$7</definedName>
    <definedName name="THAAD_Q">Model!$D$45</definedName>
    <definedName name="THAAD_SITES">Model!$B$104</definedName>
    <definedName name="THAAD_SLACK">Model!$B$64</definedName>
    <definedName name="THAAD_SYSTEM">Model!$D$8</definedName>
    <definedName name="TOTAL_SPEND">Model!$B$57</definedName>
    <definedName name="UNCOVERED_SITES">Model!$B$117</definedName>
    <definedName name="UNSPENT">Model!$B$59</definedName>
    <definedName name="USE_MIN">Model!$B$24</definedName>
    <definedName name="W">Model!$B$17:$E$17</definedName>
    <definedName name="W_ABT">Model!$D$17</definedName>
    <definedName name="W_BM">Model!$B$17</definedName>
    <definedName name="W_CM">Model!$C$17</definedName>
    <definedName name="W_UAS">Model!$E$17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1" i="1" l="1"/>
  <c r="D141" i="1" s="1"/>
  <c r="B140" i="1"/>
  <c r="D140" i="1" s="1"/>
  <c r="B139" i="1"/>
  <c r="D139" i="1" s="1"/>
  <c r="B138" i="1"/>
  <c r="D138" i="1" s="1"/>
  <c r="B134" i="1"/>
  <c r="B132" i="1"/>
  <c r="B131" i="1"/>
  <c r="B130" i="1"/>
  <c r="E124" i="1"/>
  <c r="D124" i="1"/>
  <c r="C124" i="1"/>
  <c r="B124" i="1"/>
  <c r="E123" i="1"/>
  <c r="D123" i="1"/>
  <c r="C123" i="1"/>
  <c r="B123" i="1"/>
  <c r="B115" i="1"/>
  <c r="B133" i="1" s="1"/>
  <c r="B96" i="1"/>
  <c r="D96" i="1" s="1"/>
  <c r="B95" i="1"/>
  <c r="D95" i="1" s="1"/>
  <c r="B94" i="1"/>
  <c r="D94" i="1" s="1"/>
  <c r="B93" i="1"/>
  <c r="D93" i="1" s="1"/>
  <c r="B88" i="1"/>
  <c r="B87" i="1"/>
  <c r="E74" i="1"/>
  <c r="D74" i="1"/>
  <c r="C74" i="1"/>
  <c r="E73" i="1"/>
  <c r="D73" i="1"/>
  <c r="E72" i="1"/>
  <c r="D72" i="1"/>
  <c r="F71" i="1"/>
  <c r="B58" i="1"/>
  <c r="B56" i="1"/>
  <c r="G45" i="1"/>
  <c r="G46" i="1" s="1"/>
  <c r="F45" i="1"/>
  <c r="F67" i="1" s="1"/>
  <c r="E45" i="1"/>
  <c r="E67" i="1" s="1"/>
  <c r="D45" i="1"/>
  <c r="D67" i="1" s="1"/>
  <c r="C45" i="1"/>
  <c r="C67" i="1" s="1"/>
  <c r="B45" i="1"/>
  <c r="E19" i="1"/>
  <c r="D19" i="1"/>
  <c r="C19" i="1"/>
  <c r="B19" i="1"/>
  <c r="F46" i="1" l="1"/>
  <c r="B116" i="1"/>
  <c r="E122" i="1" s="1"/>
  <c r="E126" i="1" s="1"/>
  <c r="B117" i="1"/>
  <c r="E49" i="1"/>
  <c r="F124" i="1"/>
  <c r="E46" i="1"/>
  <c r="C49" i="1"/>
  <c r="B55" i="1"/>
  <c r="B57" i="1" s="1"/>
  <c r="B59" i="1" s="1"/>
  <c r="B62" i="1"/>
  <c r="B63" i="1" s="1"/>
  <c r="B83" i="1" s="1"/>
  <c r="F123" i="1"/>
  <c r="D49" i="1"/>
  <c r="B46" i="1"/>
  <c r="B49" i="1"/>
  <c r="C46" i="1"/>
  <c r="B64" i="1"/>
  <c r="B84" i="1" s="1"/>
  <c r="D46" i="1"/>
  <c r="B67" i="1"/>
  <c r="G67" i="1"/>
  <c r="B52" i="1"/>
  <c r="C52" i="1"/>
  <c r="B60" i="1"/>
  <c r="B61" i="1" s="1"/>
  <c r="B82" i="1" s="1"/>
  <c r="D52" i="1"/>
  <c r="B118" i="1"/>
  <c r="E52" i="1"/>
  <c r="B121" i="1" l="1"/>
  <c r="B125" i="1" s="1"/>
  <c r="B71" i="1" s="1"/>
  <c r="D122" i="1"/>
  <c r="D126" i="1" s="1"/>
  <c r="C121" i="1"/>
  <c r="C125" i="1" s="1"/>
  <c r="B72" i="1" s="1"/>
  <c r="C122" i="1"/>
  <c r="C126" i="1" s="1"/>
  <c r="E121" i="1"/>
  <c r="E125" i="1" s="1"/>
  <c r="E50" i="1" s="1"/>
  <c r="E51" i="1" s="1"/>
  <c r="D121" i="1"/>
  <c r="D125" i="1" s="1"/>
  <c r="B73" i="1" s="1"/>
  <c r="B122" i="1"/>
  <c r="B126" i="1" s="1"/>
  <c r="B81" i="1"/>
  <c r="B80" i="1"/>
  <c r="B85" i="1"/>
  <c r="G71" i="1" l="1"/>
  <c r="C71" i="1"/>
  <c r="C72" i="1"/>
  <c r="C50" i="1"/>
  <c r="C51" i="1" s="1"/>
  <c r="G72" i="1"/>
  <c r="F72" i="1"/>
  <c r="F73" i="1"/>
  <c r="C73" i="1"/>
  <c r="F121" i="1"/>
  <c r="F122" i="1"/>
  <c r="D50" i="1"/>
  <c r="D51" i="1" s="1"/>
  <c r="G73" i="1"/>
  <c r="D71" i="1"/>
  <c r="G74" i="1"/>
  <c r="B74" i="1"/>
  <c r="F74" i="1"/>
  <c r="F126" i="1"/>
  <c r="E71" i="1"/>
  <c r="B50" i="1"/>
  <c r="F125" i="1"/>
  <c r="B86" i="1" l="1"/>
  <c r="B89" i="1" s="1"/>
  <c r="F50" i="1"/>
  <c r="B65" i="1"/>
  <c r="B5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7" authorId="0" shapeId="0" xr:uid="{00000000-0006-0000-0000-000001000000}">
      <text>
        <r>
          <rPr>
            <sz val="11"/>
            <color theme="1"/>
            <rFont val="Calibri"/>
            <family val="2"/>
            <charset val="1"/>
          </rPr>
          <t>Draft range $3-4M (Norsk Luftvern). Verify: Army missile procurement justification book.</t>
        </r>
      </text>
    </comment>
    <comment ref="E7" authorId="0" shapeId="0" xr:uid="{00000000-0006-0000-0000-000002000000}">
      <text>
        <r>
          <rPr>
            <sz val="11"/>
            <color theme="1"/>
            <rFont val="Calibri"/>
            <family val="2"/>
            <charset val="1"/>
          </rPr>
          <t>Draft range $28-36M for SM-3 Block IIA; Block IB is $12-15M. Choose the variant Guam will field.</t>
        </r>
      </text>
    </comment>
    <comment ref="D41" authorId="0" shapeId="0" xr:uid="{00000000-0006-0000-0000-000003000000}">
      <text>
        <r>
          <rPr>
            <sz val="11"/>
            <color theme="1"/>
            <rFont val="Calibri"/>
            <family val="2"/>
            <charset val="1"/>
          </rPr>
          <t>Existing battery on Guam: fixed at 1 (not a decision).</t>
        </r>
      </text>
    </comment>
  </commentList>
</comments>
</file>

<file path=xl/sharedStrings.xml><?xml version="1.0" encoding="utf-8"?>
<sst xmlns="http://schemas.openxmlformats.org/spreadsheetml/2006/main" count="449" uniqueCount="297">
  <si>
    <t>Guam interceptor loadout - economic research model (ILLUSTRATIVE build 2026-10-02; site constraints added 2026-10-08)</t>
  </si>
  <si>
    <t>Built from capabilities/economic-research/spec.md. Blue = input (all DRAFT placeholders until sourced). Yellow = decision cell (Solver changes these). Black = formula. Money in USD millions ($M).</t>
  </si>
  <si>
    <t>HOW TO USE: replace blue inputs with sourced figures, pick ACTIVE_RAID and BUDGET, then Data &gt; Solver &gt; Solve (the Solver setup is saved in this sheet). Site constraints (16 sites, Patriot at 2 sites per battery, at most 4 batteries) are in rows 98-141 and the QC grid; QU (rows 35-38) is the grid at sites without Patriot cover.</t>
  </si>
  <si>
    <t>INPUTS - per interceptor (DRAFT: secondary-source ranges and placeholder assumptions)</t>
  </si>
  <si>
    <t>Name</t>
  </si>
  <si>
    <t>PAC-3 CRI</t>
  </si>
  <si>
    <t>PAC-3 MSE</t>
  </si>
  <si>
    <t>THAAD</t>
  </si>
  <si>
    <t>SM-3 IIA</t>
  </si>
  <si>
    <t>SM-2</t>
  </si>
  <si>
    <t>SM-6</t>
  </si>
  <si>
    <t>Unit</t>
  </si>
  <si>
    <t>Source / status</t>
  </si>
  <si>
    <t>PRICE</t>
  </si>
  <si>
    <t>$M per interceptor</t>
  </si>
  <si>
    <t>Draft midpoints: Norsk Luftvern cost database (PAC-3, MSE, THAAD, SM-3 IIA); CSIS Feb 2024 (SM-2 ~ $2M); Wikipedia RIM-174 FY2021 avg (SM-6). Replace with budget-book unit costs.</t>
  </si>
  <si>
    <t>SYSTEM</t>
  </si>
  <si>
    <t>PATRIOT</t>
  </si>
  <si>
    <t>AEGIS</t>
  </si>
  <si>
    <t>text</t>
  </si>
  <si>
    <t>Which launcher system each interceptor needs</t>
  </si>
  <si>
    <t>PK_BM</t>
  </si>
  <si>
    <t>single-shot kill prob.</t>
  </si>
  <si>
    <t>PLACEHOLDER assumption (classified values out of scope). 0 = cannot engage.</t>
  </si>
  <si>
    <t>PK_CM</t>
  </si>
  <si>
    <t>PLACEHOLDER assumption. ARM (anti-radiation missiles) folded into CM.</t>
  </si>
  <si>
    <t>PK_ABT</t>
  </si>
  <si>
    <t>PLACEHOLDER assumption. RW (helicopters) folded into ABT.</t>
  </si>
  <si>
    <t>PK_UAS</t>
  </si>
  <si>
    <t>PLACEHOLDER assumption.</t>
  </si>
  <si>
    <t>CAP</t>
  </si>
  <si>
    <t>interceptors through FY2032</t>
  </si>
  <si>
    <t>PLACEHOLDER (set non-binding). Replace with production rate x years.</t>
  </si>
  <si>
    <t>INPUTS - per threat class</t>
  </si>
  <si>
    <t>BM</t>
  </si>
  <si>
    <t>CM</t>
  </si>
  <si>
    <t>ABT</t>
  </si>
  <si>
    <t>UAS</t>
  </si>
  <si>
    <t>W</t>
  </si>
  <si>
    <t>damage weight (index)</t>
  </si>
  <si>
    <t>PLACEHOLDER judgment: relative damage of one leaked threat. Vary in sensitivity runs.</t>
  </si>
  <si>
    <t>FLOOR</t>
  </si>
  <si>
    <t>share of class defeated</t>
  </si>
  <si>
    <t>Policy choice: minimum share of each class that must be defeated (0 = no floor).</t>
  </si>
  <si>
    <t>R (active raid)</t>
  </si>
  <si>
    <t>threats in raid</t>
  </si>
  <si>
    <t>Pulled from the Scenarios sheet for ACTIVE_RAID.</t>
  </si>
  <si>
    <t>INPUTS - the named contract (scalars)</t>
  </si>
  <si>
    <t>Value</t>
  </si>
  <si>
    <t>BUDGET</t>
  </si>
  <si>
    <t>$M</t>
  </si>
  <si>
    <t>PLACEHOLDER. Interceptor + launcher-system share of the ~$8B Guam program (Arms Control Assn, Oct 2025) is not yet sourced. Pull from MDA budget books.</t>
  </si>
  <si>
    <t>USE_MIN</t>
  </si>
  <si>
    <t>fraction of BUDGET</t>
  </si>
  <si>
    <t>0 = spend only what buys protection; 0.98 = "use the whole budget" run (spec: two runs).</t>
  </si>
  <si>
    <t>SYS_COST_AEGIS</t>
  </si>
  <si>
    <t>$M, one system</t>
  </si>
  <si>
    <t>Draft: ~$1.9B reported for Aegis Guam (Army Recognition 2026). Verify against MDA books.</t>
  </si>
  <si>
    <t>SYS_COST_PATRIOT</t>
  </si>
  <si>
    <t>$M, one battery</t>
  </si>
  <si>
    <t>Draft: ~$1.09B per battery, FY2022 (Wikipedia, MIM-104 Patriot).</t>
  </si>
  <si>
    <t>SYS_COST_THAAD</t>
  </si>
  <si>
    <t>THAAD battery already deployed on Guam since 2013: a sunk cost, so 0 here. Only new interceptors cost money.</t>
  </si>
  <si>
    <t>MK41_CELLS</t>
  </si>
  <si>
    <t>launcher cells</t>
  </si>
  <si>
    <t>PLACEHOLDER. Aegis Guam Mk 41 cell count not yet sourced. Shared by SM-2, SM-3, SM-6.</t>
  </si>
  <si>
    <t>PATRIOT_LAUNCHERS</t>
  </si>
  <si>
    <t>M903 launchers</t>
  </si>
  <si>
    <t>Nominal battery of 6 launchers; each holds 16 PAC-3 CRI or 12 PAC-3 MSE (Wikipedia, MIM-104 Patriot).</t>
  </si>
  <si>
    <t>THAAD_CAP</t>
  </si>
  <si>
    <t>interceptors</t>
  </si>
  <si>
    <t>Battery of 6 launchers x 8 (user input). Assumes one load for the existing battery.</t>
  </si>
  <si>
    <t>ACTIVE_RAID</t>
  </si>
  <si>
    <t>A ballistic-heavy</t>
  </si>
  <si>
    <t>scenario name</t>
  </si>
  <si>
    <t>Pick a row name from the Scenarios sheet.</t>
  </si>
  <si>
    <t>DECISION VARIABLES - integers; Solver 'By Changing Variable Cells'</t>
  </si>
  <si>
    <t>QU (interceptors at sites WITHOUT Patriot cover)</t>
  </si>
  <si>
    <t>Constraint</t>
  </si>
  <si>
    <t>QU_BM</t>
  </si>
  <si>
    <t>integer &gt;= 0; assigning a type to a class where its PK = 0 buys nothing. Patriot columns (B:C) must be 0 here: Patriot only defends the sites its batteries cover (use the QC grid, row 108 onward)</t>
  </si>
  <si>
    <t>QU_CM</t>
  </si>
  <si>
    <t>QU_ABT</t>
  </si>
  <si>
    <t>QU_UAS</t>
  </si>
  <si>
    <t>BUILD (Aegis, THAAD: 1 = buy; Patriot: number of batteries)</t>
  </si>
  <si>
    <t>PATRIOT (batteries)</t>
  </si>
  <si>
    <t>BUILD</t>
  </si>
  <si>
    <t>0/1; Patriot 0 to PATRIOT_MAX</t>
  </si>
  <si>
    <t>Aegis and THAAD: binary, a system cost is paid once (fixed vs. marginal cost). Patriot (PATRIOT_BATTERIES): whole number 0 to PATRIOT_MAX; each battery costs SYS_COST_PATRIOT, has PATRIOT_LAUNCHERS launchers, and defends SITES_PER_PATRIOT sites</t>
  </si>
  <si>
    <t>CALCULATIONS - totals, protection, spending</t>
  </si>
  <si>
    <t>Formula (named-range form)</t>
  </si>
  <si>
    <t>Q_TOTAL</t>
  </si>
  <si>
    <t>Q_i = SUM over classes of QU_ij + QC_ij</t>
  </si>
  <si>
    <t>SPEND_BY_TYPE</t>
  </si>
  <si>
    <t>PRICE_i x Q_i</t>
  </si>
  <si>
    <t>Total</t>
  </si>
  <si>
    <t>EFF_SHOTS</t>
  </si>
  <si>
    <t>expected kills if unsaturated</t>
  </si>
  <si>
    <t>EFF_j = EFF_COVERED_j + EFF_UNCOVERED_j</t>
  </si>
  <si>
    <t>D (defeated)</t>
  </si>
  <si>
    <t>threats</t>
  </si>
  <si>
    <t>D_j = D_COVERED_j + D_UNCOVERED_j; each is R x (1 - EXP(-EFF / R)) for its own sites  [diminishing returns as defense saturates]</t>
  </si>
  <si>
    <t>SHARE_DEFEATED</t>
  </si>
  <si>
    <t>%</t>
  </si>
  <si>
    <t>D_j / R_j</t>
  </si>
  <si>
    <t>MIN_REQUIRED</t>
  </si>
  <si>
    <t>FLOOR_j x R_j  (Solver: D &gt;= MIN_REQUIRED)</t>
  </si>
  <si>
    <t>INTERCEPTOR_SPEND</t>
  </si>
  <si>
    <t>SUM of PRICE_i x Q_i</t>
  </si>
  <si>
    <t>SYSTEM_SPEND</t>
  </si>
  <si>
    <t>one-time system costs: Aegis and THAAD once; Patriot once per battery</t>
  </si>
  <si>
    <t>TOTAL_SPEND</t>
  </si>
  <si>
    <t>Solver: TOTAL_SPEND &lt;= BUDGET and &gt;= SPEND_FLOOR</t>
  </si>
  <si>
    <t>SPEND_FLOOR</t>
  </si>
  <si>
    <t>USE_MIN x BUDGET</t>
  </si>
  <si>
    <t>UNSPENT</t>
  </si>
  <si>
    <t>money left on the table</t>
  </si>
  <si>
    <t>AEGIS_CELLS_USED</t>
  </si>
  <si>
    <t>cells</t>
  </si>
  <si>
    <t>SM-2 + SM-3 + SM-6 share Mk 41 cells</t>
  </si>
  <si>
    <t>AEGIS_CELL_SLACK</t>
  </si>
  <si>
    <t>Solver: &gt;= 0</t>
  </si>
  <si>
    <t>PATRIOT_LAUNCHERS_USED</t>
  </si>
  <si>
    <t>launchers</t>
  </si>
  <si>
    <t>16 CRI or 12 MSE per launcher</t>
  </si>
  <si>
    <t>PATRIOT_SLACK</t>
  </si>
  <si>
    <t>Solver: &gt;= 0 (launcher space across all batteries, and no PAC-3 without a battery)</t>
  </si>
  <si>
    <t>THAAD_SLACK</t>
  </si>
  <si>
    <t>PROTECTION</t>
  </si>
  <si>
    <t>% of weighted threat defeated</t>
  </si>
  <si>
    <t>OBJECTIVE (Solver maximizes): SUM W_j D_j / SUM W_j R_j</t>
  </si>
  <si>
    <t>CAP_SLACK</t>
  </si>
  <si>
    <t>CAP_i - Q_i  (Solver: &gt;= 0)</t>
  </si>
  <si>
    <t>EQUIMARGINAL CHECK - extra weighted protection from ONE more interceptor, per $M (build audit)</t>
  </si>
  <si>
    <t>MPD (per $M)</t>
  </si>
  <si>
    <t>Formula</t>
  </si>
  <si>
    <t>MPD_BM</t>
  </si>
  <si>
    <t>weighted threats per $M</t>
  </si>
  <si>
    <t>W_j x [extra threats defeated at the best site type by one more shot] / PRICE_i  (Patriot: covered sites only)</t>
  </si>
  <si>
    <t>MPD_CM</t>
  </si>
  <si>
    <t>MPD_ABT</t>
  </si>
  <si>
    <t>MPD_UAS</t>
  </si>
  <si>
    <t>Read: at the optimum, the interceptors in use show similar MPD values (the equimarginal principle), unless a launcher, cell or site limit binds - then compare protection per CELL (or per covered site) instead, as with the 64-bed cap in the marginal-analysis model.</t>
  </si>
  <si>
    <t>VALIDATION RULES - each TRUE/FALSE; rolled up into ALL_VALID</t>
  </si>
  <si>
    <t>Rule</t>
  </si>
  <si>
    <t>Result</t>
  </si>
  <si>
    <t>Catches</t>
  </si>
  <si>
    <t>TOTAL_SPEND &lt;= BUDGET</t>
  </si>
  <si>
    <t>overspending the budget</t>
  </si>
  <si>
    <t>TOTAL_SPEND &gt;= SPEND_FLOOR</t>
  </si>
  <si>
    <t>under-using the budget in the "use the whole budget" run</t>
  </si>
  <si>
    <t>Aegis cells not exceeded</t>
  </si>
  <si>
    <t>more SM-2/3/6 than Mk 41 cells (or SMs with no Aegis system)</t>
  </si>
  <si>
    <t>Patriot launchers not exceeded</t>
  </si>
  <si>
    <t>more PAC-3 than launchers hold (or PAC-3 with no Patriot battery)</t>
  </si>
  <si>
    <t>THAAD load not exceeded</t>
  </si>
  <si>
    <t>more THAAD than the battery holds</t>
  </si>
  <si>
    <t>Production caps respected</t>
  </si>
  <si>
    <t>buying more than factories can make by FY2032</t>
  </si>
  <si>
    <t>Coverage floors met</t>
  </si>
  <si>
    <t>abandoning a threat class below its floor</t>
  </si>
  <si>
    <t>No wasted assignments (PK = 0)</t>
  </si>
  <si>
    <t>interceptors assigned to a class they cannot engage</t>
  </si>
  <si>
    <t>Decision cells are whole numbers</t>
  </si>
  <si>
    <t>fractional interceptors left by Solver tolerance</t>
  </si>
  <si>
    <t>ALL_VALID</t>
  </si>
  <si>
    <t>HAND CHECK (build audit) - formula vs. hand math, independent of the decision cells</t>
  </si>
  <si>
    <t>Claim</t>
  </si>
  <si>
    <t>Formula result</t>
  </si>
  <si>
    <t>Hand math</t>
  </si>
  <si>
    <t>Match?</t>
  </si>
  <si>
    <t>20 threats, 10 shots at PK 0.7 (EFF = 7): D = 20 x (1 - e^-0.35) = 5.906</t>
  </si>
  <si>
    <t>Adding one more PK-0.7 shot (EFF 7.7) raises D to 6.391</t>
  </si>
  <si>
    <t>Patriot: 96 CRI fill exactly 6 launchers (96/16)</t>
  </si>
  <si>
    <t>Patriot: 72 MSE fill exactly 6 launchers (72/12)</t>
  </si>
  <si>
    <t>INPUTS - site constraints (user-specified 2026-10-08; sites and the Patriot limits are not from Table 1)</t>
  </si>
  <si>
    <t>SITES</t>
  </si>
  <si>
    <t>sites</t>
  </si>
  <si>
    <t>User-specified: 16 sites on Guam to defend. Raid threats are assumed spread evenly across sites (PLACEHOLDER).</t>
  </si>
  <si>
    <t>SITES_PER_PATRIOT</t>
  </si>
  <si>
    <t>sites per battery</t>
  </si>
  <si>
    <t>User-specified: one Patriot battery can protect at most 2 sites.</t>
  </si>
  <si>
    <t>PATRIOT_MAX</t>
  </si>
  <si>
    <t>batteries</t>
  </si>
  <si>
    <t>User-specified: the limit on Patriot batteries on Guam.</t>
  </si>
  <si>
    <t>AEGIS_SITES</t>
  </si>
  <si>
    <t>User-specified: Aegis can provide coverage on all sites, but only for the threat classes its PK row allows.</t>
  </si>
  <si>
    <t>THAAD_SITES</t>
  </si>
  <si>
    <t>User-specified: THAAD can provide coverage on all sites, but only for the threat classes its PK row allows.</t>
  </si>
  <si>
    <t>DECISION VARIABLES - interceptors at sites WITH Patriot cover; integers; Solver 'By Changing Variable Cells'</t>
  </si>
  <si>
    <t>QC (interceptors at Patriot-covered sites)</t>
  </si>
  <si>
    <t>QC_BM</t>
  </si>
  <si>
    <t>integer &gt;= 0; Patriot columns can only be used here. Shared types (THAAD, SM-x) may be placed at covered or uncovered sites</t>
  </si>
  <si>
    <t>QC_CM</t>
  </si>
  <si>
    <t>QC_ABT</t>
  </si>
  <si>
    <t>QC_UAS</t>
  </si>
  <si>
    <t>CALCULATIONS - site coverage and threats defeated at covered / uncovered sites</t>
  </si>
  <si>
    <t>PATRIOT_SITES_COVERED</t>
  </si>
  <si>
    <t>MIN(SITES, SITES_PER_PATRIOT x PATRIOT_BATTERIES)</t>
  </si>
  <si>
    <t>COVERED_FRACTION</t>
  </si>
  <si>
    <t>share of sites</t>
  </si>
  <si>
    <t>PATRIOT_SITES_COVERED / SITES; share of every threat class arriving at Patriot-covered sites</t>
  </si>
  <si>
    <t>UNCOVERED_SITES</t>
  </si>
  <si>
    <t>SITES - PATRIOT_SITES_COVERED (defended only by Aegis and THAAD)</t>
  </si>
  <si>
    <t>QC_SLACK</t>
  </si>
  <si>
    <t>Solver: &gt;= 0; nothing can be placed at covered sites when no site is covered</t>
  </si>
  <si>
    <t>R_COVERED</t>
  </si>
  <si>
    <t>R_j x COVERED_FRACTION</t>
  </si>
  <si>
    <t>R_UNCOVERED</t>
  </si>
  <si>
    <t>R_j x (1 - COVERED_FRACTION)</t>
  </si>
  <si>
    <t>EFF_COVERED</t>
  </si>
  <si>
    <t>SUMPRODUCT(PK_j, QC_j)</t>
  </si>
  <si>
    <t>EFF_UNCOVERED</t>
  </si>
  <si>
    <t>SUMPRODUCT(PK_j, QU_j)</t>
  </si>
  <si>
    <t>D_COVERED</t>
  </si>
  <si>
    <t>R_COVERED_j x (1 - EXP(-EFF_COVERED_j / R_COVERED_j))</t>
  </si>
  <si>
    <t>D_UNCOVERED</t>
  </si>
  <si>
    <t>R_UNCOVERED_j x (1 - EXP(-EFF_UNCOVERED_j / R_UNCOVERED_j))</t>
  </si>
  <si>
    <t>VALIDATION RULES - site constraints; each TRUE/FALSE; rolled up into ALL_VALID with the rules above</t>
  </si>
  <si>
    <t>Patriot batteries within the Guam limit</t>
  </si>
  <si>
    <t>more than PATRIOT_MAX batteries, or a fractional battery</t>
  </si>
  <si>
    <t>Patriot sites covered &lt;= SITES</t>
  </si>
  <si>
    <t>claiming more covered sites than exist</t>
  </si>
  <si>
    <t>Patriot interceptors only at covered sites</t>
  </si>
  <si>
    <t>PAC-3 assigned to sites no battery covers</t>
  </si>
  <si>
    <t>Nothing at covered sites when none are covered</t>
  </si>
  <si>
    <t>interceptors placed at covered sites with zero batteries</t>
  </si>
  <si>
    <t>Aegis and THAAD cover every site (model assumption)</t>
  </si>
  <si>
    <t>model assumes both systems defend all sites; partial coverage needs a different build</t>
  </si>
  <si>
    <t>HAND CHECK - site constraints (build audit): formula vs. hand math</t>
  </si>
  <si>
    <t>4 batteries x 2 sites = 8 covered sites, half of 16 (COVERED_FRACTION = 0.5)</t>
  </si>
  <si>
    <t>40 ballistic threats, half arriving at covered sites: R_COVERED = 20</t>
  </si>
  <si>
    <t>4 Patriot batteries x 6 launchers x 16 CRI = 384 PAC-3 CRI at most</t>
  </si>
  <si>
    <t>Uncovered share: 8 of 16 sites uncovered, so (1 - 0.5) x 50 drones = 25</t>
  </si>
  <si>
    <t>Raid scenarios and results log</t>
  </si>
  <si>
    <t>Raid sizes are PLACEHOLDERS. Spec: hold attacker spending constant and change only the split, so cheaper threats appear as larger raids.</t>
  </si>
  <si>
    <t>Scenario</t>
  </si>
  <si>
    <t>Note</t>
  </si>
  <si>
    <t>mostly medium/intermediate-range ballistic missiles</t>
  </si>
  <si>
    <t>B cruise-heavy</t>
  </si>
  <si>
    <t>mostly cruise missiles and aircraft</t>
  </si>
  <si>
    <t>C drone saturation</t>
  </si>
  <si>
    <t>mostly cheap one-way attack drones</t>
  </si>
  <si>
    <t>REFERENCE RESULTS - independent check (Python integer optimizer, same illustrative inputs, WITH the site constraints, USE_MIN = 0 unless noted)</t>
  </si>
  <si>
    <t>Hardcoded values from an external solver, for checking Excel Solver only. Solver should reach the same PROTECTION within ~0.5 points; if it is lower, re-solve from a different starting point (GRG can stop at a local optimum).</t>
  </si>
  <si>
    <t>Budget ($M)</t>
  </si>
  <si>
    <t>Protection</t>
  </si>
  <si>
    <t>Spent ($M)</t>
  </si>
  <si>
    <t>Aegis built</t>
  </si>
  <si>
    <t>Patriot batteries</t>
  </si>
  <si>
    <t>Patriot sites</t>
  </si>
  <si>
    <t>A ballistic-heavy (USE_MIN 0.98)</t>
  </si>
  <si>
    <t>Source: scipy.optimize.milp run by Claude on 2026-10-08 with the Model sheet inputs as built, with the site constraints (16 sites, raids spread evenly, 2 sites per Patriot battery, at most 4 batteries, Patriot interceptors only at covered sites); tangent-line approximation of D, protection re-evaluated exactly. These replace the earlier results that had no site limits. Illustrative only.</t>
  </si>
  <si>
    <t>MY SOLVER RUNS - record each Excel Solver result here</t>
  </si>
  <si>
    <t>Matches reference?</t>
  </si>
  <si>
    <t>Notes</t>
  </si>
  <si>
    <t>Solver setup (saved in the Model sheet; open Data &gt; Solver to see it)</t>
  </si>
  <si>
    <t>Objective</t>
  </si>
  <si>
    <t>Maximize PROTECTION (Model!B65): weighted share of threats defeated, SUM W_j D_j / SUM W_j R_j</t>
  </si>
  <si>
    <t>By changing</t>
  </si>
  <si>
    <t>QU grid Model!B35:G38 (interceptors at sites without Patriot cover), QC grid Model!B108:G111 (interceptors at Patriot-covered sites), BUILD_AEGIS Model!B41 (buy Aegis Guam) and PATRIOT_BATTERIES Model!C41 (number of Patriot batteries, 0 to PATRIOT_MAX). THAAD build is fixed at 1: the battery is already on Guam.</t>
  </si>
  <si>
    <t>Engine</t>
  </si>
  <si>
    <t>GRG Nonlinear (the objective uses EXP, so Simplex LP cannot be used), with Multistart on. Integer optimality tolerance 0%.</t>
  </si>
  <si>
    <t>Constraint 1</t>
  </si>
  <si>
    <t>QU and QC grids = integer; PATRIOT_BATTERIES = integer</t>
  </si>
  <si>
    <t>Constraint 2</t>
  </si>
  <si>
    <t>QU and QC grids &gt;= 0; PATRIOT_BATTERIES &gt;= 0</t>
  </si>
  <si>
    <t>Constraint 3</t>
  </si>
  <si>
    <t>BUILD_AEGIS = binary</t>
  </si>
  <si>
    <t>Constraint 4</t>
  </si>
  <si>
    <t>TOTAL_SPEND (B57) &lt;= BUDGET (B23)</t>
  </si>
  <si>
    <t>Constraint 5</t>
  </si>
  <si>
    <t>TOTAL_SPEND (B57) &gt;= SPEND_FLOOR (B58) = USE_MIN x BUDGET</t>
  </si>
  <si>
    <t>Constraint 6</t>
  </si>
  <si>
    <t>AEGIS_CELL_SLACK (B61) &gt;= 0  - shared Mk 41 cells, and no Standard Missiles without Aegis</t>
  </si>
  <si>
    <t>Constraint 7</t>
  </si>
  <si>
    <t>PATRIOT_SLACK (B63) &gt;= 0  - launcher space, and no PAC-3 without a Patriot battery</t>
  </si>
  <si>
    <t>Constraint 8</t>
  </si>
  <si>
    <t>THAAD_SLACK (B64) &gt;= 0</t>
  </si>
  <si>
    <t>Constraint 9</t>
  </si>
  <si>
    <t>CAP_SLACK (B67:G67) &gt;= 0  - production through FY2032</t>
  </si>
  <si>
    <t>Constraint 10</t>
  </si>
  <si>
    <t>D (B50:E50) &gt;= MIN_REQUIRED (B52:E52)  - coverage floors</t>
  </si>
  <si>
    <t>Build audit</t>
  </si>
  <si>
    <t>1) Hand check rows (Model, rows 93-96 and 138-141) all TRUE.  2) ALL_VALID (B89) TRUE after every solve.  3) Solve from two starting points (the seeded solution, and all zeros) and compare.  4) Compare PROTECTION with the reference results on the Scenarios sheet.  5) Equimarginal check: interceptors in use should show similar MPD values (rows 71-74) unless a cell, launcher or site limit binds.</t>
  </si>
  <si>
    <t>Starting point</t>
  </si>
  <si>
    <t>The decision cells are seeded with the reference solution for scenario A at $4,000M, so the sheet opens in a solved state.</t>
  </si>
  <si>
    <t>Run plan (spec)</t>
  </si>
  <si>
    <t>For each scenario A, B, C: solve at BUDGET = 2,000 / 4,000 / 6,000 with USE_MIN = 0; then the "use the whole budget" run with USE_MIN = 0.98; record results on the Scenarios sheet.</t>
  </si>
  <si>
    <t>Known limits</t>
  </si>
  <si>
    <t>Inputs are placeholders. Kill probabilities and raid sizes are assumptions, not data, and so is the even spread of threats over the 16 sites. GRG on an integer problem can stop at a local optimum - that is why the external reference results exist.</t>
  </si>
  <si>
    <t>Constraint 11</t>
  </si>
  <si>
    <t>PATRIOT_BATTERIES (C41) &lt;= PATRIOT_MAX (B102) - the Guam limit of 4 batteries; 2 sites each, so at most 8 of 16 sites have Patriot cover</t>
  </si>
  <si>
    <t>Constraint 12</t>
  </si>
  <si>
    <t>QU Patriot columns (B35:C38) = 0 - Patriot interceptors only defend sites a battery covers</t>
  </si>
  <si>
    <t>Constraint 13</t>
  </si>
  <si>
    <t>QC_SLACK (B118) &gt;= 0 - nothing at covered sites when no site is covered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</si>
</sst>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
    <numFmt numFmtId="165" formatCode="\$#,##0"/>
    <numFmt numFmtId="166" formatCode="\$#,##0.0"/>
    <numFmt numFmtId="167" formatCode="0.0%"/>
    <numFmt numFmtId="168" formatCode="0.000"/>
    <numFmt numFmtId="169" formatCode="0.0"/>
  </numFmts>
  <fonts count="9" x14ac:knownFonts="1">
    <font>
      <sz val="11"/>
      <color theme="1"/>
      <name val="Calibri"/>
      <family val="2"/>
      <charset val="1"/>
    </font>
    <font>
      <b/>
      <sz val="14"/>
      <name val="Arial"/>
      <charset val="1"/>
    </font>
    <font>
      <sz val="11"/>
      <color theme="1"/>
      <name val="Arial"/>
      <charset val="1"/>
    </font>
    <font>
      <i/>
      <sz val="11"/>
      <name val="Arial"/>
      <charset val="1"/>
    </font>
    <font>
      <b/>
      <sz val="11"/>
      <color rgb="FFFFFFFF"/>
      <name val="Arial"/>
      <charset val="1"/>
    </font>
    <font>
      <b/>
      <sz val="11"/>
      <name val="Arial"/>
      <charset val="1"/>
    </font>
    <font>
      <sz val="11"/>
      <color rgb="FF0000FF"/>
      <name val="Arial"/>
      <charset val="1"/>
    </font>
    <font>
      <sz val="11"/>
      <name val="Arial"/>
      <charset val="1"/>
    </font>
    <font>
      <sz val="11"/>
      <color rgb="FF008000"/>
      <name val="Arial"/>
      <charset val="1"/>
    </font>
  </fonts>
  <fills count="7">
    <fill>
      <patternFill patternType="none"/>
    </fill>
    <fill>
      <patternFill patternType="gray125"/>
    </fill>
    <fill>
      <patternFill patternType="solid">
        <fgColor rgb="FF1F3864"/>
        <bgColor rgb="FF333333"/>
      </patternFill>
    </fill>
    <fill>
      <patternFill patternType="solid">
        <fgColor rgb="FFD9E1F2"/>
        <bgColor rgb="FFE2EFDA"/>
      </patternFill>
    </fill>
    <fill>
      <patternFill patternType="solid">
        <fgColor rgb="FFFFF2CC"/>
        <bgColor rgb="FFE2EFDA"/>
      </patternFill>
    </fill>
    <fill>
      <patternFill patternType="solid">
        <fgColor rgb="FFFFFF00"/>
        <bgColor rgb="FFFFFF00"/>
      </patternFill>
    </fill>
    <fill>
      <patternFill patternType="solid">
        <fgColor rgb="FFE2EFDA"/>
        <bgColor rgb="FFD9E1F2"/>
      </patternFill>
    </fill>
  </fills>
  <borders count="1">
    <border>
      <left/>
      <right/>
      <top/>
      <bottom/>
      <diagonal/>
    </border>
  </borders>
  <cellStyleXfs count="1">
    <xf numFmtId="0" fontId="0" fillId="0" borderId="0"/>
  </cellStyleXfs>
  <cellXfs count="34">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xf numFmtId="0" fontId="2" fillId="2" borderId="0" xfId="0" applyFont="1" applyFill="1"/>
    <xf numFmtId="0" fontId="5" fillId="3" borderId="0" xfId="0" applyFont="1" applyFill="1"/>
    <xf numFmtId="0" fontId="5" fillId="0" borderId="0" xfId="0" applyFont="1"/>
    <xf numFmtId="164" fontId="6" fillId="0" borderId="0" xfId="0" applyNumberFormat="1" applyFont="1"/>
    <xf numFmtId="0" fontId="7" fillId="0" borderId="0" xfId="0" applyFont="1"/>
    <xf numFmtId="0" fontId="6" fillId="0" borderId="0" xfId="0" applyFont="1"/>
    <xf numFmtId="2" fontId="6" fillId="0" borderId="0" xfId="0" applyNumberFormat="1" applyFont="1"/>
    <xf numFmtId="9" fontId="6" fillId="0" borderId="0" xfId="0" applyNumberFormat="1" applyFont="1"/>
    <xf numFmtId="0" fontId="8" fillId="0" borderId="0" xfId="0" applyFont="1"/>
    <xf numFmtId="165" fontId="6" fillId="4" borderId="0" xfId="0" applyNumberFormat="1" applyFont="1" applyFill="1"/>
    <xf numFmtId="9" fontId="6" fillId="4" borderId="0" xfId="0" applyNumberFormat="1" applyFont="1" applyFill="1"/>
    <xf numFmtId="165" fontId="6" fillId="0" borderId="0" xfId="0" applyNumberFormat="1" applyFont="1"/>
    <xf numFmtId="3" fontId="6" fillId="0" borderId="0" xfId="0" applyNumberFormat="1" applyFont="1"/>
    <xf numFmtId="49" fontId="6" fillId="4" borderId="0" xfId="0" applyNumberFormat="1" applyFont="1" applyFill="1"/>
    <xf numFmtId="3" fontId="7" fillId="5" borderId="0" xfId="0" applyNumberFormat="1" applyFont="1" applyFill="1"/>
    <xf numFmtId="1" fontId="2" fillId="5" borderId="0" xfId="0" applyNumberFormat="1" applyFont="1" applyFill="1"/>
    <xf numFmtId="3" fontId="2" fillId="0" borderId="0" xfId="0" applyNumberFormat="1" applyFont="1"/>
    <xf numFmtId="166" fontId="2" fillId="0" borderId="0" xfId="0" applyNumberFormat="1" applyFont="1"/>
    <xf numFmtId="2" fontId="2" fillId="0" borderId="0" xfId="0" applyNumberFormat="1" applyFont="1"/>
    <xf numFmtId="9" fontId="2" fillId="0" borderId="0" xfId="0" applyNumberFormat="1" applyFont="1"/>
    <xf numFmtId="4" fontId="2" fillId="0" borderId="0" xfId="0" applyNumberFormat="1" applyFont="1"/>
    <xf numFmtId="167" fontId="5" fillId="6" borderId="0" xfId="0" applyNumberFormat="1" applyFont="1" applyFill="1"/>
    <xf numFmtId="168" fontId="2" fillId="0" borderId="0" xfId="0" applyNumberFormat="1" applyFont="1"/>
    <xf numFmtId="165" fontId="7" fillId="0" borderId="0" xfId="0" applyNumberFormat="1" applyFont="1"/>
    <xf numFmtId="167" fontId="7" fillId="0" borderId="0" xfId="0" applyNumberFormat="1" applyFont="1"/>
    <xf numFmtId="1" fontId="6" fillId="4" borderId="0" xfId="0" applyNumberFormat="1" applyFont="1" applyFill="1"/>
    <xf numFmtId="1" fontId="2" fillId="0" borderId="0" xfId="0" applyNumberFormat="1" applyFont="1"/>
    <xf numFmtId="167" fontId="2" fillId="0" borderId="0" xfId="0" applyNumberFormat="1" applyFont="1"/>
    <xf numFmtId="169" fontId="2" fillId="0" borderId="0" xfId="0" applyNumberFormat="1"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41"/>
  <sheetViews>
    <sheetView tabSelected="1" zoomScaleNormal="100" workbookViewId="0">
      <pane xSplit="1" ySplit="4" topLeftCell="B5" activePane="bottomRight" state="frozen"/>
      <selection pane="topRight" activeCell="B1" sqref="B1"/>
      <selection pane="bottomLeft" activeCell="A5" sqref="A5"/>
      <selection pane="bottomRight"/>
    </sheetView>
  </sheetViews>
  <sheetFormatPr defaultColWidth="8.68359375" defaultRowHeight="14.4" x14ac:dyDescent="0.55000000000000004"/>
  <cols>
    <col min="1" max="1" width="34" customWidth="1"/>
    <col min="2" max="7" width="13" customWidth="1"/>
    <col min="8" max="8" width="26" customWidth="1"/>
    <col min="9" max="9" width="90" customWidth="1"/>
  </cols>
  <sheetData>
    <row r="1" spans="1:10" ht="17.25" customHeight="1" x14ac:dyDescent="0.6">
      <c r="A1" s="1" t="s">
        <v>0</v>
      </c>
      <c r="B1" s="2"/>
      <c r="C1" s="2"/>
      <c r="D1" s="2"/>
      <c r="E1" s="2"/>
      <c r="F1" s="2"/>
      <c r="G1" s="2"/>
      <c r="H1" s="2"/>
      <c r="I1" s="2"/>
      <c r="J1" s="2"/>
    </row>
    <row r="2" spans="1:10" ht="15" customHeight="1" x14ac:dyDescent="0.55000000000000004">
      <c r="A2" s="3" t="s">
        <v>1</v>
      </c>
      <c r="B2" s="2"/>
      <c r="C2" s="2"/>
      <c r="D2" s="2"/>
      <c r="E2" s="2"/>
      <c r="F2" s="2"/>
      <c r="G2" s="2"/>
      <c r="H2" s="2"/>
      <c r="I2" s="2"/>
      <c r="J2" s="2"/>
    </row>
    <row r="3" spans="1:10" ht="15" customHeight="1" x14ac:dyDescent="0.55000000000000004">
      <c r="A3" s="3" t="s">
        <v>2</v>
      </c>
      <c r="B3" s="2"/>
      <c r="C3" s="2"/>
      <c r="D3" s="2"/>
      <c r="E3" s="2"/>
      <c r="F3" s="2"/>
      <c r="G3" s="2"/>
      <c r="H3" s="2"/>
      <c r="I3" s="2"/>
      <c r="J3" s="2"/>
    </row>
    <row r="4" spans="1:10" ht="15" customHeight="1" x14ac:dyDescent="0.55000000000000004">
      <c r="A4" s="2"/>
      <c r="B4" s="2"/>
      <c r="C4" s="2"/>
      <c r="D4" s="2"/>
      <c r="E4" s="2"/>
      <c r="F4" s="2"/>
      <c r="G4" s="2"/>
      <c r="H4" s="2"/>
      <c r="I4" s="2"/>
      <c r="J4" s="2"/>
    </row>
    <row r="5" spans="1:10" ht="15" customHeight="1" x14ac:dyDescent="0.55000000000000004">
      <c r="A5" s="4" t="s">
        <v>3</v>
      </c>
      <c r="B5" s="5"/>
      <c r="C5" s="5"/>
      <c r="D5" s="5"/>
      <c r="E5" s="5"/>
      <c r="F5" s="5"/>
      <c r="G5" s="5"/>
      <c r="H5" s="5"/>
      <c r="I5" s="5"/>
      <c r="J5" s="5"/>
    </row>
    <row r="6" spans="1:10" ht="15" customHeight="1" x14ac:dyDescent="0.55000000000000004">
      <c r="A6" s="6" t="s">
        <v>4</v>
      </c>
      <c r="B6" s="6" t="s">
        <v>5</v>
      </c>
      <c r="C6" s="6" t="s">
        <v>6</v>
      </c>
      <c r="D6" s="6" t="s">
        <v>7</v>
      </c>
      <c r="E6" s="6" t="s">
        <v>8</v>
      </c>
      <c r="F6" s="6" t="s">
        <v>9</v>
      </c>
      <c r="G6" s="6" t="s">
        <v>10</v>
      </c>
      <c r="H6" s="6" t="s">
        <v>11</v>
      </c>
      <c r="I6" s="6" t="s">
        <v>12</v>
      </c>
      <c r="J6" s="2"/>
    </row>
    <row r="7" spans="1:10" ht="15" customHeight="1" x14ac:dyDescent="0.55000000000000004">
      <c r="A7" s="7" t="s">
        <v>13</v>
      </c>
      <c r="B7" s="8">
        <v>3.5</v>
      </c>
      <c r="C7" s="8">
        <v>4.75</v>
      </c>
      <c r="D7" s="8">
        <v>13.5</v>
      </c>
      <c r="E7" s="8">
        <v>30</v>
      </c>
      <c r="F7" s="8">
        <v>2</v>
      </c>
      <c r="G7" s="8">
        <v>4.3</v>
      </c>
      <c r="H7" s="9" t="s">
        <v>14</v>
      </c>
      <c r="I7" s="9" t="s">
        <v>15</v>
      </c>
      <c r="J7" s="2"/>
    </row>
    <row r="8" spans="1:10" ht="15" customHeight="1" x14ac:dyDescent="0.55000000000000004">
      <c r="A8" s="7" t="s">
        <v>16</v>
      </c>
      <c r="B8" s="10" t="s">
        <v>17</v>
      </c>
      <c r="C8" s="10" t="s">
        <v>17</v>
      </c>
      <c r="D8" s="10" t="s">
        <v>7</v>
      </c>
      <c r="E8" s="10" t="s">
        <v>18</v>
      </c>
      <c r="F8" s="10" t="s">
        <v>18</v>
      </c>
      <c r="G8" s="10" t="s">
        <v>18</v>
      </c>
      <c r="H8" s="9" t="s">
        <v>19</v>
      </c>
      <c r="I8" s="9" t="s">
        <v>20</v>
      </c>
      <c r="J8" s="2"/>
    </row>
    <row r="9" spans="1:10" ht="15" customHeight="1" x14ac:dyDescent="0.55000000000000004">
      <c r="A9" s="7" t="s">
        <v>21</v>
      </c>
      <c r="B9" s="11">
        <v>0.6</v>
      </c>
      <c r="C9" s="11">
        <v>0.75</v>
      </c>
      <c r="D9" s="11">
        <v>0.8</v>
      </c>
      <c r="E9" s="11">
        <v>0.8</v>
      </c>
      <c r="F9" s="11">
        <v>0</v>
      </c>
      <c r="G9" s="11">
        <v>0.6</v>
      </c>
      <c r="H9" s="9" t="s">
        <v>22</v>
      </c>
      <c r="I9" s="9" t="s">
        <v>23</v>
      </c>
      <c r="J9" s="2"/>
    </row>
    <row r="10" spans="1:10" ht="15" customHeight="1" x14ac:dyDescent="0.55000000000000004">
      <c r="A10" s="7" t="s">
        <v>24</v>
      </c>
      <c r="B10" s="11">
        <v>0.7</v>
      </c>
      <c r="C10" s="11">
        <v>0.8</v>
      </c>
      <c r="D10" s="11">
        <v>0</v>
      </c>
      <c r="E10" s="11">
        <v>0</v>
      </c>
      <c r="F10" s="11">
        <v>0.75</v>
      </c>
      <c r="G10" s="11">
        <v>0.8</v>
      </c>
      <c r="H10" s="9" t="s">
        <v>22</v>
      </c>
      <c r="I10" s="9" t="s">
        <v>25</v>
      </c>
      <c r="J10" s="2"/>
    </row>
    <row r="11" spans="1:10" ht="15" customHeight="1" x14ac:dyDescent="0.55000000000000004">
      <c r="A11" s="7" t="s">
        <v>26</v>
      </c>
      <c r="B11" s="11">
        <v>0.75</v>
      </c>
      <c r="C11" s="11">
        <v>0.8</v>
      </c>
      <c r="D11" s="11">
        <v>0</v>
      </c>
      <c r="E11" s="11">
        <v>0</v>
      </c>
      <c r="F11" s="11">
        <v>0.8</v>
      </c>
      <c r="G11" s="11">
        <v>0.85</v>
      </c>
      <c r="H11" s="9" t="s">
        <v>22</v>
      </c>
      <c r="I11" s="9" t="s">
        <v>27</v>
      </c>
      <c r="J11" s="2"/>
    </row>
    <row r="12" spans="1:10" ht="15" customHeight="1" x14ac:dyDescent="0.55000000000000004">
      <c r="A12" s="7" t="s">
        <v>28</v>
      </c>
      <c r="B12" s="11">
        <v>0.85</v>
      </c>
      <c r="C12" s="11">
        <v>0</v>
      </c>
      <c r="D12" s="11">
        <v>0</v>
      </c>
      <c r="E12" s="11">
        <v>0</v>
      </c>
      <c r="F12" s="11">
        <v>0.85</v>
      </c>
      <c r="G12" s="11">
        <v>0.85</v>
      </c>
      <c r="H12" s="9" t="s">
        <v>22</v>
      </c>
      <c r="I12" s="9" t="s">
        <v>29</v>
      </c>
      <c r="J12" s="2"/>
    </row>
    <row r="13" spans="1:10" ht="15" customHeight="1" x14ac:dyDescent="0.55000000000000004">
      <c r="A13" s="7" t="s">
        <v>30</v>
      </c>
      <c r="B13" s="10">
        <v>500</v>
      </c>
      <c r="C13" s="10">
        <v>500</v>
      </c>
      <c r="D13" s="10">
        <v>500</v>
      </c>
      <c r="E13" s="10">
        <v>500</v>
      </c>
      <c r="F13" s="10">
        <v>500</v>
      </c>
      <c r="G13" s="10">
        <v>500</v>
      </c>
      <c r="H13" s="9" t="s">
        <v>31</v>
      </c>
      <c r="I13" s="9" t="s">
        <v>32</v>
      </c>
      <c r="J13" s="2"/>
    </row>
    <row r="14" spans="1:10" ht="15" customHeight="1" x14ac:dyDescent="0.55000000000000004">
      <c r="A14" s="2"/>
      <c r="B14" s="2"/>
      <c r="C14" s="2"/>
      <c r="D14" s="2"/>
      <c r="E14" s="2"/>
      <c r="F14" s="2"/>
      <c r="G14" s="2"/>
      <c r="H14" s="2"/>
      <c r="I14" s="2"/>
      <c r="J14" s="2"/>
    </row>
    <row r="15" spans="1:10" ht="15" customHeight="1" x14ac:dyDescent="0.55000000000000004">
      <c r="A15" s="4" t="s">
        <v>33</v>
      </c>
      <c r="B15" s="5"/>
      <c r="C15" s="5"/>
      <c r="D15" s="5"/>
      <c r="E15" s="5"/>
      <c r="F15" s="5"/>
      <c r="G15" s="5"/>
      <c r="H15" s="5"/>
      <c r="I15" s="5"/>
      <c r="J15" s="5"/>
    </row>
    <row r="16" spans="1:10" ht="15" customHeight="1" x14ac:dyDescent="0.55000000000000004">
      <c r="A16" s="6" t="s">
        <v>4</v>
      </c>
      <c r="B16" s="6" t="s">
        <v>34</v>
      </c>
      <c r="C16" s="6" t="s">
        <v>35</v>
      </c>
      <c r="D16" s="6" t="s">
        <v>36</v>
      </c>
      <c r="E16" s="6" t="s">
        <v>37</v>
      </c>
      <c r="F16" s="2"/>
      <c r="G16" s="2"/>
      <c r="H16" s="6" t="s">
        <v>11</v>
      </c>
      <c r="I16" s="6" t="s">
        <v>12</v>
      </c>
      <c r="J16" s="2"/>
    </row>
    <row r="17" spans="1:10" ht="15" customHeight="1" x14ac:dyDescent="0.55000000000000004">
      <c r="A17" s="7" t="s">
        <v>38</v>
      </c>
      <c r="B17" s="10">
        <v>10</v>
      </c>
      <c r="C17" s="10">
        <v>5</v>
      </c>
      <c r="D17" s="10">
        <v>4</v>
      </c>
      <c r="E17" s="10">
        <v>1</v>
      </c>
      <c r="F17" s="2"/>
      <c r="G17" s="2"/>
      <c r="H17" s="2" t="s">
        <v>39</v>
      </c>
      <c r="I17" s="2" t="s">
        <v>40</v>
      </c>
      <c r="J17" s="2"/>
    </row>
    <row r="18" spans="1:10" ht="15" customHeight="1" x14ac:dyDescent="0.55000000000000004">
      <c r="A18" s="7" t="s">
        <v>41</v>
      </c>
      <c r="B18" s="12">
        <v>0</v>
      </c>
      <c r="C18" s="12">
        <v>0</v>
      </c>
      <c r="D18" s="12">
        <v>0</v>
      </c>
      <c r="E18" s="12">
        <v>0</v>
      </c>
      <c r="F18" s="2"/>
      <c r="G18" s="2"/>
      <c r="H18" s="2" t="s">
        <v>42</v>
      </c>
      <c r="I18" s="2" t="s">
        <v>43</v>
      </c>
      <c r="J18" s="2"/>
    </row>
    <row r="19" spans="1:10" ht="15" customHeight="1" x14ac:dyDescent="0.55000000000000004">
      <c r="A19" s="7" t="s">
        <v>44</v>
      </c>
      <c r="B19" s="13">
        <f>INDEX(Scenarios!B$5:B$7,MATCH(ACTIVE_RAID,Scenarios!$A$5:$A$7,0))</f>
        <v>40</v>
      </c>
      <c r="C19" s="13">
        <f>INDEX(Scenarios!C$5:C$7,MATCH(ACTIVE_RAID,Scenarios!$A$5:$A$7,0))</f>
        <v>30</v>
      </c>
      <c r="D19" s="13">
        <f>INDEX(Scenarios!D$5:D$7,MATCH(ACTIVE_RAID,Scenarios!$A$5:$A$7,0))</f>
        <v>10</v>
      </c>
      <c r="E19" s="13">
        <f>INDEX(Scenarios!E$5:E$7,MATCH(ACTIVE_RAID,Scenarios!$A$5:$A$7,0))</f>
        <v>50</v>
      </c>
      <c r="F19" s="2"/>
      <c r="G19" s="2"/>
      <c r="H19" s="2" t="s">
        <v>45</v>
      </c>
      <c r="I19" s="2" t="s">
        <v>46</v>
      </c>
      <c r="J19" s="2"/>
    </row>
    <row r="20" spans="1:10" ht="15" customHeight="1" x14ac:dyDescent="0.55000000000000004">
      <c r="A20" s="2"/>
      <c r="B20" s="2"/>
      <c r="C20" s="2"/>
      <c r="D20" s="2"/>
      <c r="E20" s="2"/>
      <c r="F20" s="2"/>
      <c r="G20" s="2"/>
      <c r="H20" s="2"/>
      <c r="I20" s="2"/>
      <c r="J20" s="2"/>
    </row>
    <row r="21" spans="1:10" ht="15" customHeight="1" x14ac:dyDescent="0.55000000000000004">
      <c r="A21" s="4" t="s">
        <v>47</v>
      </c>
      <c r="B21" s="5"/>
      <c r="C21" s="5"/>
      <c r="D21" s="5"/>
      <c r="E21" s="5"/>
      <c r="F21" s="5"/>
      <c r="G21" s="5"/>
      <c r="H21" s="5"/>
      <c r="I21" s="5"/>
      <c r="J21" s="5"/>
    </row>
    <row r="22" spans="1:10" ht="15" customHeight="1" x14ac:dyDescent="0.55000000000000004">
      <c r="A22" s="6" t="s">
        <v>4</v>
      </c>
      <c r="B22" s="6" t="s">
        <v>48</v>
      </c>
      <c r="C22" s="2"/>
      <c r="D22" s="2"/>
      <c r="E22" s="2"/>
      <c r="F22" s="2"/>
      <c r="G22" s="2"/>
      <c r="H22" s="6" t="s">
        <v>11</v>
      </c>
      <c r="I22" s="6" t="s">
        <v>12</v>
      </c>
      <c r="J22" s="2"/>
    </row>
    <row r="23" spans="1:10" ht="15" customHeight="1" x14ac:dyDescent="0.55000000000000004">
      <c r="A23" s="7" t="s">
        <v>49</v>
      </c>
      <c r="B23" s="14">
        <v>4000</v>
      </c>
      <c r="C23" s="2"/>
      <c r="D23" s="2"/>
      <c r="E23" s="2"/>
      <c r="F23" s="2"/>
      <c r="G23" s="2"/>
      <c r="H23" s="2" t="s">
        <v>50</v>
      </c>
      <c r="I23" s="2" t="s">
        <v>51</v>
      </c>
      <c r="J23" s="2"/>
    </row>
    <row r="24" spans="1:10" ht="15" customHeight="1" x14ac:dyDescent="0.55000000000000004">
      <c r="A24" s="7" t="s">
        <v>52</v>
      </c>
      <c r="B24" s="15">
        <v>0</v>
      </c>
      <c r="C24" s="2"/>
      <c r="D24" s="2"/>
      <c r="E24" s="2"/>
      <c r="F24" s="2"/>
      <c r="G24" s="2"/>
      <c r="H24" s="2" t="s">
        <v>53</v>
      </c>
      <c r="I24" s="2" t="s">
        <v>54</v>
      </c>
      <c r="J24" s="2"/>
    </row>
    <row r="25" spans="1:10" ht="15" customHeight="1" x14ac:dyDescent="0.55000000000000004">
      <c r="A25" s="7" t="s">
        <v>55</v>
      </c>
      <c r="B25" s="16">
        <v>1900</v>
      </c>
      <c r="C25" s="2"/>
      <c r="D25" s="2"/>
      <c r="E25" s="2"/>
      <c r="F25" s="2"/>
      <c r="G25" s="2"/>
      <c r="H25" s="2" t="s">
        <v>56</v>
      </c>
      <c r="I25" s="2" t="s">
        <v>57</v>
      </c>
      <c r="J25" s="2"/>
    </row>
    <row r="26" spans="1:10" ht="15" customHeight="1" x14ac:dyDescent="0.55000000000000004">
      <c r="A26" s="7" t="s">
        <v>58</v>
      </c>
      <c r="B26" s="16">
        <v>1100</v>
      </c>
      <c r="C26" s="2"/>
      <c r="D26" s="2"/>
      <c r="E26" s="2"/>
      <c r="F26" s="2"/>
      <c r="G26" s="2"/>
      <c r="H26" s="2" t="s">
        <v>59</v>
      </c>
      <c r="I26" s="2" t="s">
        <v>60</v>
      </c>
      <c r="J26" s="2"/>
    </row>
    <row r="27" spans="1:10" ht="15" customHeight="1" x14ac:dyDescent="0.55000000000000004">
      <c r="A27" s="7" t="s">
        <v>61</v>
      </c>
      <c r="B27" s="16">
        <v>0</v>
      </c>
      <c r="C27" s="2"/>
      <c r="D27" s="2"/>
      <c r="E27" s="2"/>
      <c r="F27" s="2"/>
      <c r="G27" s="2"/>
      <c r="H27" s="2" t="s">
        <v>50</v>
      </c>
      <c r="I27" s="2" t="s">
        <v>62</v>
      </c>
      <c r="J27" s="2"/>
    </row>
    <row r="28" spans="1:10" ht="15" customHeight="1" x14ac:dyDescent="0.55000000000000004">
      <c r="A28" s="7" t="s">
        <v>63</v>
      </c>
      <c r="B28" s="17">
        <v>96</v>
      </c>
      <c r="C28" s="2"/>
      <c r="D28" s="2"/>
      <c r="E28" s="2"/>
      <c r="F28" s="2"/>
      <c r="G28" s="2"/>
      <c r="H28" s="2" t="s">
        <v>64</v>
      </c>
      <c r="I28" s="2" t="s">
        <v>65</v>
      </c>
      <c r="J28" s="2"/>
    </row>
    <row r="29" spans="1:10" ht="15" customHeight="1" x14ac:dyDescent="0.55000000000000004">
      <c r="A29" s="7" t="s">
        <v>66</v>
      </c>
      <c r="B29" s="17">
        <v>6</v>
      </c>
      <c r="C29" s="2"/>
      <c r="D29" s="2"/>
      <c r="E29" s="2"/>
      <c r="F29" s="2"/>
      <c r="G29" s="2"/>
      <c r="H29" s="2" t="s">
        <v>67</v>
      </c>
      <c r="I29" s="2" t="s">
        <v>68</v>
      </c>
      <c r="J29" s="2"/>
    </row>
    <row r="30" spans="1:10" ht="15" customHeight="1" x14ac:dyDescent="0.55000000000000004">
      <c r="A30" s="7" t="s">
        <v>69</v>
      </c>
      <c r="B30" s="17">
        <v>48</v>
      </c>
      <c r="C30" s="2"/>
      <c r="D30" s="2"/>
      <c r="E30" s="2"/>
      <c r="F30" s="2"/>
      <c r="G30" s="2"/>
      <c r="H30" s="2" t="s">
        <v>70</v>
      </c>
      <c r="I30" s="2" t="s">
        <v>71</v>
      </c>
      <c r="J30" s="2"/>
    </row>
    <row r="31" spans="1:10" ht="15" customHeight="1" x14ac:dyDescent="0.55000000000000004">
      <c r="A31" s="7" t="s">
        <v>72</v>
      </c>
      <c r="B31" s="18" t="s">
        <v>73</v>
      </c>
      <c r="C31" s="2"/>
      <c r="D31" s="2"/>
      <c r="E31" s="2"/>
      <c r="F31" s="2"/>
      <c r="G31" s="2"/>
      <c r="H31" s="2" t="s">
        <v>74</v>
      </c>
      <c r="I31" s="2" t="s">
        <v>75</v>
      </c>
      <c r="J31" s="2"/>
    </row>
    <row r="32" spans="1:10" ht="15" customHeight="1" x14ac:dyDescent="0.55000000000000004">
      <c r="A32" s="2"/>
      <c r="B32" s="2"/>
      <c r="C32" s="2"/>
      <c r="D32" s="2"/>
      <c r="E32" s="2"/>
      <c r="F32" s="2"/>
      <c r="G32" s="2"/>
      <c r="H32" s="2"/>
      <c r="I32" s="2"/>
      <c r="J32" s="2"/>
    </row>
    <row r="33" spans="1:10" ht="15" customHeight="1" x14ac:dyDescent="0.55000000000000004">
      <c r="A33" s="4" t="s">
        <v>76</v>
      </c>
      <c r="B33" s="5"/>
      <c r="C33" s="5"/>
      <c r="D33" s="5"/>
      <c r="E33" s="5"/>
      <c r="F33" s="5"/>
      <c r="G33" s="5"/>
      <c r="H33" s="5"/>
      <c r="I33" s="5"/>
      <c r="J33" s="5"/>
    </row>
    <row r="34" spans="1:10" ht="15" customHeight="1" x14ac:dyDescent="0.55000000000000004">
      <c r="A34" s="6" t="s">
        <v>77</v>
      </c>
      <c r="B34" s="6" t="s">
        <v>5</v>
      </c>
      <c r="C34" s="6" t="s">
        <v>6</v>
      </c>
      <c r="D34" s="6" t="s">
        <v>7</v>
      </c>
      <c r="E34" s="6" t="s">
        <v>8</v>
      </c>
      <c r="F34" s="6" t="s">
        <v>9</v>
      </c>
      <c r="G34" s="6" t="s">
        <v>10</v>
      </c>
      <c r="H34" s="6" t="s">
        <v>11</v>
      </c>
      <c r="I34" s="6" t="s">
        <v>78</v>
      </c>
      <c r="J34" s="2"/>
    </row>
    <row r="35" spans="1:10" ht="15" customHeight="1" x14ac:dyDescent="0.55000000000000004">
      <c r="A35" s="7" t="s">
        <v>79</v>
      </c>
      <c r="B35" s="19">
        <v>0</v>
      </c>
      <c r="C35" s="19">
        <v>0</v>
      </c>
      <c r="D35" s="19">
        <v>43</v>
      </c>
      <c r="E35" s="19">
        <v>0</v>
      </c>
      <c r="F35" s="19">
        <v>0</v>
      </c>
      <c r="G35" s="19">
        <v>35</v>
      </c>
      <c r="H35" s="2" t="s">
        <v>70</v>
      </c>
      <c r="I35" s="2" t="s">
        <v>80</v>
      </c>
      <c r="J35" s="2"/>
    </row>
    <row r="36" spans="1:10" ht="15" customHeight="1" x14ac:dyDescent="0.55000000000000004">
      <c r="A36" s="7" t="s">
        <v>81</v>
      </c>
      <c r="B36" s="19">
        <v>0</v>
      </c>
      <c r="C36" s="19">
        <v>0</v>
      </c>
      <c r="D36" s="19">
        <v>0</v>
      </c>
      <c r="E36" s="19">
        <v>0</v>
      </c>
      <c r="F36" s="19">
        <v>48</v>
      </c>
      <c r="G36" s="19">
        <v>0</v>
      </c>
      <c r="H36" s="2" t="s">
        <v>70</v>
      </c>
      <c r="I36" s="2" t="s">
        <v>80</v>
      </c>
      <c r="J36" s="2"/>
    </row>
    <row r="37" spans="1:10" ht="15" customHeight="1" x14ac:dyDescent="0.55000000000000004">
      <c r="A37" s="7" t="s">
        <v>82</v>
      </c>
      <c r="B37" s="19">
        <v>0</v>
      </c>
      <c r="C37" s="19">
        <v>0</v>
      </c>
      <c r="D37" s="19">
        <v>0</v>
      </c>
      <c r="E37" s="19">
        <v>0</v>
      </c>
      <c r="F37" s="19">
        <v>13</v>
      </c>
      <c r="G37" s="19">
        <v>0</v>
      </c>
      <c r="H37" s="2" t="s">
        <v>70</v>
      </c>
      <c r="I37" s="2" t="s">
        <v>80</v>
      </c>
      <c r="J37" s="2"/>
    </row>
    <row r="38" spans="1:10" ht="15" customHeight="1" x14ac:dyDescent="0.55000000000000004">
      <c r="A38" s="7" t="s">
        <v>83</v>
      </c>
      <c r="B38" s="19">
        <v>0</v>
      </c>
      <c r="C38" s="19">
        <v>0</v>
      </c>
      <c r="D38" s="19">
        <v>0</v>
      </c>
      <c r="E38" s="19">
        <v>0</v>
      </c>
      <c r="F38" s="19">
        <v>0</v>
      </c>
      <c r="G38" s="19">
        <v>0</v>
      </c>
      <c r="H38" s="2" t="s">
        <v>70</v>
      </c>
      <c r="I38" s="2" t="s">
        <v>80</v>
      </c>
      <c r="J38" s="2"/>
    </row>
    <row r="39" spans="1:10" ht="15" customHeight="1" x14ac:dyDescent="0.55000000000000004">
      <c r="A39" s="2"/>
      <c r="B39" s="2"/>
      <c r="C39" s="2"/>
      <c r="D39" s="2"/>
      <c r="E39" s="2"/>
      <c r="F39" s="2"/>
      <c r="G39" s="2"/>
      <c r="H39" s="2"/>
      <c r="I39" s="2"/>
      <c r="J39" s="2"/>
    </row>
    <row r="40" spans="1:10" ht="15" customHeight="1" x14ac:dyDescent="0.55000000000000004">
      <c r="A40" s="6" t="s">
        <v>84</v>
      </c>
      <c r="B40" s="6" t="s">
        <v>18</v>
      </c>
      <c r="C40" s="6" t="s">
        <v>85</v>
      </c>
      <c r="D40" s="6" t="s">
        <v>7</v>
      </c>
      <c r="E40" s="2"/>
      <c r="F40" s="2"/>
      <c r="G40" s="2"/>
      <c r="H40" s="6" t="s">
        <v>11</v>
      </c>
      <c r="I40" s="6" t="s">
        <v>78</v>
      </c>
      <c r="J40" s="2"/>
    </row>
    <row r="41" spans="1:10" ht="15" customHeight="1" x14ac:dyDescent="0.55000000000000004">
      <c r="A41" s="7" t="s">
        <v>86</v>
      </c>
      <c r="B41" s="20">
        <v>1</v>
      </c>
      <c r="C41" s="20">
        <v>1</v>
      </c>
      <c r="D41" s="10">
        <v>1</v>
      </c>
      <c r="E41" s="2"/>
      <c r="F41" s="2"/>
      <c r="G41" s="2"/>
      <c r="H41" s="2" t="s">
        <v>87</v>
      </c>
      <c r="I41" s="2" t="s">
        <v>88</v>
      </c>
      <c r="J41" s="2"/>
    </row>
    <row r="42" spans="1:10" ht="15" customHeight="1" x14ac:dyDescent="0.55000000000000004">
      <c r="A42" s="2"/>
      <c r="B42" s="2"/>
      <c r="C42" s="2"/>
      <c r="D42" s="2"/>
      <c r="E42" s="2"/>
      <c r="F42" s="2"/>
      <c r="G42" s="2"/>
      <c r="H42" s="2"/>
      <c r="I42" s="2"/>
      <c r="J42" s="2"/>
    </row>
    <row r="43" spans="1:10" ht="15" customHeight="1" x14ac:dyDescent="0.55000000000000004">
      <c r="A43" s="4" t="s">
        <v>89</v>
      </c>
      <c r="B43" s="5"/>
      <c r="C43" s="5"/>
      <c r="D43" s="5"/>
      <c r="E43" s="5"/>
      <c r="F43" s="5"/>
      <c r="G43" s="5"/>
      <c r="H43" s="5"/>
      <c r="I43" s="5"/>
      <c r="J43" s="5"/>
    </row>
    <row r="44" spans="1:10" ht="15" customHeight="1" x14ac:dyDescent="0.55000000000000004">
      <c r="A44" s="6" t="s">
        <v>4</v>
      </c>
      <c r="B44" s="6" t="s">
        <v>5</v>
      </c>
      <c r="C44" s="6" t="s">
        <v>6</v>
      </c>
      <c r="D44" s="6" t="s">
        <v>7</v>
      </c>
      <c r="E44" s="6" t="s">
        <v>8</v>
      </c>
      <c r="F44" s="6" t="s">
        <v>9</v>
      </c>
      <c r="G44" s="6" t="s">
        <v>10</v>
      </c>
      <c r="H44" s="6" t="s">
        <v>11</v>
      </c>
      <c r="I44" s="6" t="s">
        <v>90</v>
      </c>
      <c r="J44" s="2"/>
    </row>
    <row r="45" spans="1:10" ht="15" customHeight="1" x14ac:dyDescent="0.55000000000000004">
      <c r="A45" s="7" t="s">
        <v>91</v>
      </c>
      <c r="B45" s="21">
        <f t="shared" ref="B45:G45" si="0">SUM(B35:B38)+SUM(B108:B111)</f>
        <v>42</v>
      </c>
      <c r="C45" s="21">
        <f t="shared" si="0"/>
        <v>0</v>
      </c>
      <c r="D45" s="21">
        <f t="shared" si="0"/>
        <v>43</v>
      </c>
      <c r="E45" s="21">
        <f t="shared" si="0"/>
        <v>0</v>
      </c>
      <c r="F45" s="21">
        <f t="shared" si="0"/>
        <v>61</v>
      </c>
      <c r="G45" s="21">
        <f t="shared" si="0"/>
        <v>35</v>
      </c>
      <c r="H45" s="2" t="s">
        <v>70</v>
      </c>
      <c r="I45" s="2" t="s">
        <v>92</v>
      </c>
      <c r="J45" s="2"/>
    </row>
    <row r="46" spans="1:10" ht="15" customHeight="1" x14ac:dyDescent="0.55000000000000004">
      <c r="A46" s="7" t="s">
        <v>93</v>
      </c>
      <c r="B46" s="22">
        <f t="shared" ref="B46:G46" si="1">B7*B45</f>
        <v>147</v>
      </c>
      <c r="C46" s="22">
        <f t="shared" si="1"/>
        <v>0</v>
      </c>
      <c r="D46" s="22">
        <f t="shared" si="1"/>
        <v>580.5</v>
      </c>
      <c r="E46" s="22">
        <f t="shared" si="1"/>
        <v>0</v>
      </c>
      <c r="F46" s="22">
        <f t="shared" si="1"/>
        <v>122</v>
      </c>
      <c r="G46" s="22">
        <f t="shared" si="1"/>
        <v>150.5</v>
      </c>
      <c r="H46" s="2" t="s">
        <v>50</v>
      </c>
      <c r="I46" s="2" t="s">
        <v>94</v>
      </c>
      <c r="J46" s="2"/>
    </row>
    <row r="47" spans="1:10" ht="15" customHeight="1" x14ac:dyDescent="0.55000000000000004">
      <c r="A47" s="2"/>
      <c r="B47" s="2"/>
      <c r="C47" s="2"/>
      <c r="D47" s="2"/>
      <c r="E47" s="2"/>
      <c r="F47" s="2"/>
      <c r="G47" s="2"/>
      <c r="H47" s="2"/>
      <c r="I47" s="2"/>
      <c r="J47" s="2"/>
    </row>
    <row r="48" spans="1:10" ht="15" customHeight="1" x14ac:dyDescent="0.55000000000000004">
      <c r="A48" s="6" t="s">
        <v>4</v>
      </c>
      <c r="B48" s="6" t="s">
        <v>34</v>
      </c>
      <c r="C48" s="6" t="s">
        <v>35</v>
      </c>
      <c r="D48" s="6" t="s">
        <v>36</v>
      </c>
      <c r="E48" s="6" t="s">
        <v>37</v>
      </c>
      <c r="F48" s="6" t="s">
        <v>95</v>
      </c>
      <c r="G48" s="2"/>
      <c r="H48" s="6" t="s">
        <v>11</v>
      </c>
      <c r="I48" s="6" t="s">
        <v>90</v>
      </c>
      <c r="J48" s="2"/>
    </row>
    <row r="49" spans="1:10" ht="15" customHeight="1" x14ac:dyDescent="0.55000000000000004">
      <c r="A49" s="7" t="s">
        <v>96</v>
      </c>
      <c r="B49" s="23">
        <f>B123+B124</f>
        <v>68.599999999999994</v>
      </c>
      <c r="C49" s="23">
        <f>C123+C124</f>
        <v>44.4</v>
      </c>
      <c r="D49" s="23">
        <f>D123+D124</f>
        <v>12.65</v>
      </c>
      <c r="E49" s="23">
        <f>E123+E124</f>
        <v>4.25</v>
      </c>
      <c r="F49" s="2"/>
      <c r="G49" s="2"/>
      <c r="H49" s="2" t="s">
        <v>97</v>
      </c>
      <c r="I49" s="2" t="s">
        <v>98</v>
      </c>
      <c r="J49" s="2"/>
    </row>
    <row r="50" spans="1:10" ht="15" customHeight="1" x14ac:dyDescent="0.55000000000000004">
      <c r="A50" s="7" t="s">
        <v>99</v>
      </c>
      <c r="B50" s="23">
        <f>B125+B126</f>
        <v>32.454633327857422</v>
      </c>
      <c r="C50" s="23">
        <f>C125+C126</f>
        <v>22.939995128103611</v>
      </c>
      <c r="D50" s="23">
        <f>D125+D126</f>
        <v>7.1276348457833167</v>
      </c>
      <c r="E50" s="23">
        <f>E125+E126</f>
        <v>3.0836437977150655</v>
      </c>
      <c r="F50" s="23">
        <f>SUM(B50:E50)</f>
        <v>65.605907099459415</v>
      </c>
      <c r="G50" s="2"/>
      <c r="H50" s="2" t="s">
        <v>100</v>
      </c>
      <c r="I50" s="2" t="s">
        <v>101</v>
      </c>
      <c r="J50" s="2"/>
    </row>
    <row r="51" spans="1:10" ht="15" customHeight="1" x14ac:dyDescent="0.55000000000000004">
      <c r="A51" s="7" t="s">
        <v>102</v>
      </c>
      <c r="B51" s="24">
        <f>IF(B19=0,0,B50/B19)</f>
        <v>0.81136583319643552</v>
      </c>
      <c r="C51" s="24">
        <f>IF(C19=0,0,C50/C19)</f>
        <v>0.7646665042701204</v>
      </c>
      <c r="D51" s="24">
        <f>IF(D19=0,0,D50/D19)</f>
        <v>0.71276348457833172</v>
      </c>
      <c r="E51" s="24">
        <f>IF(E19=0,0,E50/E19)</f>
        <v>6.1672875954301307E-2</v>
      </c>
      <c r="F51" s="2"/>
      <c r="G51" s="2"/>
      <c r="H51" s="2" t="s">
        <v>103</v>
      </c>
      <c r="I51" s="2" t="s">
        <v>104</v>
      </c>
      <c r="J51" s="2"/>
    </row>
    <row r="52" spans="1:10" ht="15" customHeight="1" x14ac:dyDescent="0.55000000000000004">
      <c r="A52" s="7" t="s">
        <v>105</v>
      </c>
      <c r="B52" s="23">
        <f>B18*B19</f>
        <v>0</v>
      </c>
      <c r="C52" s="23">
        <f>C18*C19</f>
        <v>0</v>
      </c>
      <c r="D52" s="23">
        <f>D18*D19</f>
        <v>0</v>
      </c>
      <c r="E52" s="23">
        <f>E18*E19</f>
        <v>0</v>
      </c>
      <c r="F52" s="2"/>
      <c r="G52" s="2"/>
      <c r="H52" s="2" t="s">
        <v>100</v>
      </c>
      <c r="I52" s="2" t="s">
        <v>106</v>
      </c>
      <c r="J52" s="2"/>
    </row>
    <row r="53" spans="1:10" ht="15" customHeight="1" x14ac:dyDescent="0.55000000000000004">
      <c r="A53" s="2"/>
      <c r="B53" s="2"/>
      <c r="C53" s="2"/>
      <c r="D53" s="2"/>
      <c r="E53" s="2"/>
      <c r="F53" s="2"/>
      <c r="G53" s="2"/>
      <c r="H53" s="2"/>
      <c r="I53" s="2"/>
      <c r="J53" s="2"/>
    </row>
    <row r="54" spans="1:10" ht="15" customHeight="1" x14ac:dyDescent="0.55000000000000004">
      <c r="A54" s="6" t="s">
        <v>4</v>
      </c>
      <c r="B54" s="6" t="s">
        <v>48</v>
      </c>
      <c r="C54" s="2"/>
      <c r="D54" s="2"/>
      <c r="E54" s="2"/>
      <c r="F54" s="2"/>
      <c r="G54" s="2"/>
      <c r="H54" s="6" t="s">
        <v>11</v>
      </c>
      <c r="I54" s="6" t="s">
        <v>90</v>
      </c>
      <c r="J54" s="2"/>
    </row>
    <row r="55" spans="1:10" ht="15" customHeight="1" x14ac:dyDescent="0.55000000000000004">
      <c r="A55" s="7" t="s">
        <v>107</v>
      </c>
      <c r="B55" s="22">
        <f>SUMPRODUCT(PRICE,Q_TOTAL)</f>
        <v>1000</v>
      </c>
      <c r="C55" s="2"/>
      <c r="D55" s="2"/>
      <c r="E55" s="2"/>
      <c r="F55" s="2"/>
      <c r="G55" s="2"/>
      <c r="H55" s="2" t="s">
        <v>50</v>
      </c>
      <c r="I55" s="2" t="s">
        <v>108</v>
      </c>
      <c r="J55" s="2"/>
    </row>
    <row r="56" spans="1:10" ht="15" customHeight="1" x14ac:dyDescent="0.55000000000000004">
      <c r="A56" s="7" t="s">
        <v>109</v>
      </c>
      <c r="B56" s="22">
        <f>SYS_COST_AEGIS*BUILD_AEGIS+SYS_COST_PATRIOT*PATRIOT_BATTERIES+SYS_COST_THAAD*BUILD_THAAD</f>
        <v>3000</v>
      </c>
      <c r="C56" s="2"/>
      <c r="D56" s="2"/>
      <c r="E56" s="2"/>
      <c r="F56" s="2"/>
      <c r="G56" s="2"/>
      <c r="H56" s="2" t="s">
        <v>50</v>
      </c>
      <c r="I56" s="2" t="s">
        <v>110</v>
      </c>
      <c r="J56" s="2"/>
    </row>
    <row r="57" spans="1:10" ht="15" customHeight="1" x14ac:dyDescent="0.55000000000000004">
      <c r="A57" s="7" t="s">
        <v>111</v>
      </c>
      <c r="B57" s="22">
        <f>INTERCEPTOR_SPEND+SYSTEM_SPEND</f>
        <v>4000</v>
      </c>
      <c r="C57" s="2"/>
      <c r="D57" s="2"/>
      <c r="E57" s="2"/>
      <c r="F57" s="2"/>
      <c r="G57" s="2"/>
      <c r="H57" s="2" t="s">
        <v>50</v>
      </c>
      <c r="I57" s="2" t="s">
        <v>112</v>
      </c>
      <c r="J57" s="2"/>
    </row>
    <row r="58" spans="1:10" ht="15" customHeight="1" x14ac:dyDescent="0.55000000000000004">
      <c r="A58" s="7" t="s">
        <v>113</v>
      </c>
      <c r="B58" s="22">
        <f>USE_MIN*BUDGET</f>
        <v>0</v>
      </c>
      <c r="C58" s="2"/>
      <c r="D58" s="2"/>
      <c r="E58" s="2"/>
      <c r="F58" s="2"/>
      <c r="G58" s="2"/>
      <c r="H58" s="2" t="s">
        <v>50</v>
      </c>
      <c r="I58" s="2" t="s">
        <v>114</v>
      </c>
      <c r="J58" s="2"/>
    </row>
    <row r="59" spans="1:10" ht="15" customHeight="1" x14ac:dyDescent="0.55000000000000004">
      <c r="A59" s="7" t="s">
        <v>115</v>
      </c>
      <c r="B59" s="22">
        <f>BUDGET-TOTAL_SPEND</f>
        <v>0</v>
      </c>
      <c r="C59" s="2"/>
      <c r="D59" s="2"/>
      <c r="E59" s="2"/>
      <c r="F59" s="2"/>
      <c r="G59" s="2"/>
      <c r="H59" s="2" t="s">
        <v>50</v>
      </c>
      <c r="I59" s="2" t="s">
        <v>116</v>
      </c>
      <c r="J59" s="2"/>
    </row>
    <row r="60" spans="1:10" ht="15" customHeight="1" x14ac:dyDescent="0.55000000000000004">
      <c r="A60" s="7" t="s">
        <v>117</v>
      </c>
      <c r="B60" s="21">
        <f>SM2_Q+SM3_Q+SM6_Q</f>
        <v>96</v>
      </c>
      <c r="C60" s="2"/>
      <c r="D60" s="2"/>
      <c r="E60" s="2"/>
      <c r="F60" s="2"/>
      <c r="G60" s="2"/>
      <c r="H60" s="2" t="s">
        <v>118</v>
      </c>
      <c r="I60" s="2" t="s">
        <v>119</v>
      </c>
      <c r="J60" s="2"/>
    </row>
    <row r="61" spans="1:10" ht="15" customHeight="1" x14ac:dyDescent="0.55000000000000004">
      <c r="A61" s="7" t="s">
        <v>120</v>
      </c>
      <c r="B61" s="25">
        <f>MK41_CELLS*BUILD_AEGIS-AEGIS_CELLS_USED</f>
        <v>0</v>
      </c>
      <c r="C61" s="2"/>
      <c r="D61" s="2"/>
      <c r="E61" s="2"/>
      <c r="F61" s="2"/>
      <c r="G61" s="2"/>
      <c r="H61" s="2" t="s">
        <v>118</v>
      </c>
      <c r="I61" s="2" t="s">
        <v>121</v>
      </c>
      <c r="J61" s="2"/>
    </row>
    <row r="62" spans="1:10" ht="15" customHeight="1" x14ac:dyDescent="0.55000000000000004">
      <c r="A62" s="7" t="s">
        <v>122</v>
      </c>
      <c r="B62" s="23">
        <f>PAC3_Q/16+MSE_Q/12</f>
        <v>2.625</v>
      </c>
      <c r="C62" s="2"/>
      <c r="D62" s="2"/>
      <c r="E62" s="2"/>
      <c r="F62" s="2"/>
      <c r="G62" s="2"/>
      <c r="H62" s="2" t="s">
        <v>123</v>
      </c>
      <c r="I62" s="2" t="s">
        <v>124</v>
      </c>
      <c r="J62" s="2"/>
    </row>
    <row r="63" spans="1:10" ht="15" customHeight="1" x14ac:dyDescent="0.55000000000000004">
      <c r="A63" s="7" t="s">
        <v>125</v>
      </c>
      <c r="B63" s="23">
        <f>PATRIOT_LAUNCHERS*PATRIOT_BATTERIES-PATRIOT_LAUNCHERS_USED</f>
        <v>3.375</v>
      </c>
      <c r="C63" s="2"/>
      <c r="D63" s="2"/>
      <c r="E63" s="2"/>
      <c r="F63" s="2"/>
      <c r="G63" s="2"/>
      <c r="H63" s="2" t="s">
        <v>123</v>
      </c>
      <c r="I63" s="2" t="s">
        <v>126</v>
      </c>
      <c r="J63" s="2"/>
    </row>
    <row r="64" spans="1:10" ht="15" customHeight="1" x14ac:dyDescent="0.55000000000000004">
      <c r="A64" s="7" t="s">
        <v>127</v>
      </c>
      <c r="B64" s="21">
        <f>THAAD_CAP*BUILD_THAAD-THAAD_Q</f>
        <v>5</v>
      </c>
      <c r="C64" s="2"/>
      <c r="D64" s="2"/>
      <c r="E64" s="2"/>
      <c r="F64" s="2"/>
      <c r="G64" s="2"/>
      <c r="H64" s="2" t="s">
        <v>70</v>
      </c>
      <c r="I64" s="2" t="s">
        <v>121</v>
      </c>
      <c r="J64" s="2"/>
    </row>
    <row r="65" spans="1:10" ht="15" customHeight="1" x14ac:dyDescent="0.55000000000000004">
      <c r="A65" s="7" t="s">
        <v>128</v>
      </c>
      <c r="B65" s="26">
        <f>SUMPRODUCT(W,D)/SUMPRODUCT(W,RAID_SIZE)</f>
        <v>0.73568826890615724</v>
      </c>
      <c r="C65" s="2"/>
      <c r="D65" s="2"/>
      <c r="E65" s="2"/>
      <c r="F65" s="2"/>
      <c r="G65" s="2"/>
      <c r="H65" s="2" t="s">
        <v>129</v>
      </c>
      <c r="I65" s="2" t="s">
        <v>130</v>
      </c>
      <c r="J65" s="2"/>
    </row>
    <row r="66" spans="1:10" ht="15" customHeight="1" x14ac:dyDescent="0.55000000000000004">
      <c r="A66" s="2"/>
      <c r="B66" s="2"/>
      <c r="C66" s="2"/>
      <c r="D66" s="2"/>
      <c r="E66" s="2"/>
      <c r="F66" s="2"/>
      <c r="G66" s="2"/>
      <c r="H66" s="2"/>
      <c r="I66" s="2"/>
      <c r="J66" s="2"/>
    </row>
    <row r="67" spans="1:10" ht="15" customHeight="1" x14ac:dyDescent="0.55000000000000004">
      <c r="A67" s="7" t="s">
        <v>131</v>
      </c>
      <c r="B67" s="21">
        <f t="shared" ref="B67:G67" si="2">B13-B45</f>
        <v>458</v>
      </c>
      <c r="C67" s="21">
        <f t="shared" si="2"/>
        <v>500</v>
      </c>
      <c r="D67" s="21">
        <f t="shared" si="2"/>
        <v>457</v>
      </c>
      <c r="E67" s="21">
        <f t="shared" si="2"/>
        <v>500</v>
      </c>
      <c r="F67" s="21">
        <f t="shared" si="2"/>
        <v>439</v>
      </c>
      <c r="G67" s="21">
        <f t="shared" si="2"/>
        <v>465</v>
      </c>
      <c r="H67" s="2" t="s">
        <v>70</v>
      </c>
      <c r="I67" s="2" t="s">
        <v>132</v>
      </c>
      <c r="J67" s="2"/>
    </row>
    <row r="68" spans="1:10" ht="15" customHeight="1" x14ac:dyDescent="0.55000000000000004">
      <c r="A68" s="2"/>
      <c r="B68" s="2"/>
      <c r="C68" s="2"/>
      <c r="D68" s="2"/>
      <c r="E68" s="2"/>
      <c r="F68" s="2"/>
      <c r="G68" s="2"/>
      <c r="H68" s="2"/>
      <c r="I68" s="2"/>
      <c r="J68" s="2"/>
    </row>
    <row r="69" spans="1:10" ht="15" customHeight="1" x14ac:dyDescent="0.55000000000000004">
      <c r="A69" s="4" t="s">
        <v>133</v>
      </c>
      <c r="B69" s="5"/>
      <c r="C69" s="5"/>
      <c r="D69" s="5"/>
      <c r="E69" s="5"/>
      <c r="F69" s="5"/>
      <c r="G69" s="5"/>
      <c r="H69" s="5"/>
      <c r="I69" s="5"/>
      <c r="J69" s="5"/>
    </row>
    <row r="70" spans="1:10" ht="15" customHeight="1" x14ac:dyDescent="0.55000000000000004">
      <c r="A70" s="6" t="s">
        <v>134</v>
      </c>
      <c r="B70" s="6" t="s">
        <v>5</v>
      </c>
      <c r="C70" s="6" t="s">
        <v>6</v>
      </c>
      <c r="D70" s="6" t="s">
        <v>7</v>
      </c>
      <c r="E70" s="6" t="s">
        <v>8</v>
      </c>
      <c r="F70" s="6" t="s">
        <v>9</v>
      </c>
      <c r="G70" s="6" t="s">
        <v>10</v>
      </c>
      <c r="H70" s="6" t="s">
        <v>11</v>
      </c>
      <c r="I70" s="6" t="s">
        <v>135</v>
      </c>
      <c r="J70" s="2"/>
    </row>
    <row r="71" spans="1:10" ht="15" customHeight="1" x14ac:dyDescent="0.55000000000000004">
      <c r="A71" s="7" t="s">
        <v>136</v>
      </c>
      <c r="B71" s="27">
        <f>IF(B9=0,0,B$17*IF(B$121=0,0,B$121*(1-EXP(-(B$123+B9)/B$121))-B$125)/B$7)</f>
        <v>0.11527858852493315</v>
      </c>
      <c r="C71" s="27">
        <f>IF(C9=0,0,B$17*IF(B$121=0,0,B$121*(1-EXP(-(B$123+C9)/B$121))-B$125)/C$7)</f>
        <v>0.10463216464616658</v>
      </c>
      <c r="D71" s="27">
        <f>IF(D9=0,0,B$17*MAX(IF(B$121=0,0,B$121*(1-EXP(-(B$123+D9)/B$121))-B$125),IF(B$122=0,0,B$122*(1-EXP(-(B$124+D9)/B$122))-B$126))/D$7)</f>
        <v>0.12033062825594243</v>
      </c>
      <c r="E71" s="27">
        <f>IF(E9=0,0,B$17*MAX(IF(B$121=0,0,B$121*(1-EXP(-(B$123+E9)/B$121))-B$125),IF(B$122=0,0,B$122*(1-EXP(-(B$124+E9)/B$122))-B$126))/E$7)</f>
        <v>5.4148782715174093E-2</v>
      </c>
      <c r="F71" s="27">
        <f>IF(F9=0,0,B$17*MAX(IF(B$121=0,0,B$121*(1-EXP(-(B$123+F9)/B$121))-B$125),IF(B$122=0,0,B$122*(1-EXP(-(B$124+F9)/B$122))-B$126))/F$7)</f>
        <v>0</v>
      </c>
      <c r="G71" s="27">
        <f>IF(G9=0,0,B$17*MAX(IF(B$121=0,0,B$121*(1-EXP(-(B$123+G9)/B$121))-B$125),IF(B$122=0,0,B$122*(1-EXP(-(B$124+G9)/B$122))-B$126))/G$7)</f>
        <v>0.28414463848304228</v>
      </c>
      <c r="H71" s="2" t="s">
        <v>137</v>
      </c>
      <c r="I71" s="2" t="s">
        <v>138</v>
      </c>
      <c r="J71" s="2"/>
    </row>
    <row r="72" spans="1:10" ht="15" customHeight="1" x14ac:dyDescent="0.55000000000000004">
      <c r="A72" s="7" t="s">
        <v>139</v>
      </c>
      <c r="B72" s="27">
        <f>IF(B10=0,0,C$17*IF(C$121=0,0,C$121*(1-EXP(-(C$123+B10)/C$121))-C$125)/B$7)</f>
        <v>9.711281812964831E-2</v>
      </c>
      <c r="C72" s="27">
        <f>IF(C10=0,0,C$17*IF(C$121=0,0,C$121*(1-EXP(-(C$123+C10)/C$121))-C$125)/C$7)</f>
        <v>8.0731911677497201E-2</v>
      </c>
      <c r="D72" s="27">
        <f>IF(D10=0,0,C$17*MAX(IF(C$121=0,0,C$121*(1-EXP(-(C$123+D10)/C$121))-C$125),IF(C$122=0,0,C$122*(1-EXP(-(C$124+D10)/C$122))-C$126))/D$7)</f>
        <v>0</v>
      </c>
      <c r="E72" s="27">
        <f>IF(E10=0,0,C$17*MAX(IF(C$121=0,0,C$121*(1-EXP(-(C$123+E10)/C$121))-C$125),IF(C$122=0,0,C$122*(1-EXP(-(C$124+E10)/C$122))-C$126))/E$7)</f>
        <v>0</v>
      </c>
      <c r="F72" s="27">
        <f>IF(F10=0,0,C$17*MAX(IF(C$121=0,0,C$121*(1-EXP(-(C$123+F10)/C$121))-C$125),IF(C$122=0,0,C$122*(1-EXP(-(C$124+F10)/C$122))-C$126))/F$7)</f>
        <v>0.46903794251755393</v>
      </c>
      <c r="G72" s="27">
        <f>IF(G10=0,0,C$17*MAX(IF(C$121=0,0,C$121*(1-EXP(-(C$123+G10)/C$121))-C$125),IF(C$122=0,0,C$122*(1-EXP(-(C$124+G10)/C$122))-C$126))/G$7)</f>
        <v>0.23248056970194869</v>
      </c>
      <c r="H72" s="2" t="s">
        <v>137</v>
      </c>
      <c r="I72" s="2" t="s">
        <v>138</v>
      </c>
      <c r="J72" s="2"/>
    </row>
    <row r="73" spans="1:10" ht="15" customHeight="1" x14ac:dyDescent="0.55000000000000004">
      <c r="A73" s="7" t="s">
        <v>140</v>
      </c>
      <c r="B73" s="27">
        <f>IF(B11=0,0,D$17*IF(D$121=0,0,D$121*(1-EXP(-(D$123+B11)/D$121))-D$125)/B$7)</f>
        <v>0.10654419276024869</v>
      </c>
      <c r="C73" s="27">
        <f>IF(C11=0,0,D$17*IF(D$121=0,0,D$121*(1-EXP(-(D$123+C11)/D$121))-D$125)/C$7)</f>
        <v>8.2250565010110896E-2</v>
      </c>
      <c r="D73" s="27">
        <f>IF(D11=0,0,D$17*MAX(IF(D$121=0,0,D$121*(1-EXP(-(D$123+D11)/D$121))-D$125),IF(D$122=0,0,D$122*(1-EXP(-(D$124+D11)/D$122))-D$126))/D$7)</f>
        <v>0</v>
      </c>
      <c r="E73" s="27">
        <f>IF(E11=0,0,D$17*MAX(IF(D$121=0,0,D$121*(1-EXP(-(D$123+E11)/D$121))-D$125),IF(D$122=0,0,D$122*(1-EXP(-(D$124+E11)/D$122))-D$126))/E$7)</f>
        <v>0</v>
      </c>
      <c r="F73" s="27">
        <f>IF(F11=0,0,D$17*MAX(IF(D$121=0,0,D$121*(1-EXP(-(D$123+F11)/D$121))-D$125),IF(D$122=0,0,D$122*(1-EXP(-(D$124+F11)/D$122))-D$126))/F$7)</f>
        <v>0.46583032994850093</v>
      </c>
      <c r="G73" s="27">
        <f>IF(G11=0,0,D$17*MAX(IF(D$121=0,0,D$121*(1-EXP(-(D$123+G11)/D$121))-D$125),IF(D$122=0,0,D$122*(1-EXP(-(D$124+G11)/D$122))-D$126))/G$7)</f>
        <v>0.22956035900559282</v>
      </c>
      <c r="H73" s="2" t="s">
        <v>137</v>
      </c>
      <c r="I73" s="2" t="s">
        <v>138</v>
      </c>
      <c r="J73" s="2"/>
    </row>
    <row r="74" spans="1:10" ht="15" customHeight="1" x14ac:dyDescent="0.55000000000000004">
      <c r="A74" s="7" t="s">
        <v>141</v>
      </c>
      <c r="B74" s="27">
        <f>IF(B12=0,0,E$17*IF(E$121=0,0,E$121*(1-EXP(-(E$123+B12)/E$121))-E$125)/B$7)</f>
        <v>0.11503586265301927</v>
      </c>
      <c r="C74" s="27">
        <f>IF(C12=0,0,E$17*IF(E$121=0,0,E$121*(1-EXP(-(E$123+C12)/E$121))-E$125)/C$7)</f>
        <v>0</v>
      </c>
      <c r="D74" s="27">
        <f>IF(D12=0,0,E$17*MAX(IF(E$121=0,0,E$121*(1-EXP(-(E$123+D12)/E$121))-E$125),IF(E$122=0,0,E$122*(1-EXP(-(E$124+D12)/E$122))-E$126))/D$7)</f>
        <v>0</v>
      </c>
      <c r="E74" s="27">
        <f>IF(E12=0,0,E$17*MAX(IF(E$121=0,0,E$121*(1-EXP(-(E$123+E12)/E$121))-E$125),IF(E$122=0,0,E$122*(1-EXP(-(E$124+E12)/E$122))-E$126))/E$7)</f>
        <v>0</v>
      </c>
      <c r="F74" s="27">
        <f>IF(F12=0,0,E$17*MAX(IF(E$121=0,0,E$121*(1-EXP(-(E$123+F12)/E$121))-E$125),IF(E$122=0,0,E$122*(1-EXP(-(E$124+F12)/E$122))-E$126))/F$7)</f>
        <v>0.42089803662194791</v>
      </c>
      <c r="G74" s="27">
        <f>IF(G12=0,0,E$17*MAX(IF(E$121=0,0,E$121*(1-EXP(-(E$123+G12)/E$121))-E$125),IF(E$122=0,0,E$122*(1-EXP(-(E$124+G12)/E$122))-E$126))/G$7)</f>
        <v>0.19576652866137112</v>
      </c>
      <c r="H74" s="2" t="s">
        <v>137</v>
      </c>
      <c r="I74" s="2" t="s">
        <v>138</v>
      </c>
      <c r="J74" s="2"/>
    </row>
    <row r="75" spans="1:10" ht="15" customHeight="1" x14ac:dyDescent="0.55000000000000004">
      <c r="A75" s="2"/>
      <c r="B75" s="2"/>
      <c r="C75" s="2"/>
      <c r="D75" s="2"/>
      <c r="E75" s="2"/>
      <c r="F75" s="2"/>
      <c r="G75" s="2"/>
      <c r="H75" s="2"/>
      <c r="I75" s="2"/>
      <c r="J75" s="2"/>
    </row>
    <row r="76" spans="1:10" ht="15" customHeight="1" x14ac:dyDescent="0.55000000000000004">
      <c r="A76" s="3" t="s">
        <v>142</v>
      </c>
      <c r="B76" s="2"/>
      <c r="C76" s="2"/>
      <c r="D76" s="2"/>
      <c r="E76" s="2"/>
      <c r="F76" s="2"/>
      <c r="G76" s="2"/>
      <c r="H76" s="2"/>
      <c r="I76" s="2"/>
      <c r="J76" s="2"/>
    </row>
    <row r="77" spans="1:10" ht="15" customHeight="1" x14ac:dyDescent="0.55000000000000004">
      <c r="A77" s="2"/>
      <c r="B77" s="2"/>
      <c r="C77" s="2"/>
      <c r="D77" s="2"/>
      <c r="E77" s="2"/>
      <c r="F77" s="2"/>
      <c r="G77" s="2"/>
      <c r="H77" s="2"/>
      <c r="I77" s="2"/>
      <c r="J77" s="2"/>
    </row>
    <row r="78" spans="1:10" ht="15" customHeight="1" x14ac:dyDescent="0.55000000000000004">
      <c r="A78" s="4" t="s">
        <v>143</v>
      </c>
      <c r="B78" s="5"/>
      <c r="C78" s="5"/>
      <c r="D78" s="5"/>
      <c r="E78" s="5"/>
      <c r="F78" s="5"/>
      <c r="G78" s="5"/>
      <c r="H78" s="5"/>
      <c r="I78" s="5"/>
      <c r="J78" s="5"/>
    </row>
    <row r="79" spans="1:10" ht="15" customHeight="1" x14ac:dyDescent="0.55000000000000004">
      <c r="A79" s="6" t="s">
        <v>144</v>
      </c>
      <c r="B79" s="6" t="s">
        <v>145</v>
      </c>
      <c r="C79" s="2"/>
      <c r="D79" s="2"/>
      <c r="E79" s="2"/>
      <c r="F79" s="2"/>
      <c r="G79" s="2"/>
      <c r="H79" s="2"/>
      <c r="I79" s="6" t="s">
        <v>146</v>
      </c>
      <c r="J79" s="2"/>
    </row>
    <row r="80" spans="1:10" ht="15" customHeight="1" x14ac:dyDescent="0.55000000000000004">
      <c r="A80" s="2" t="s">
        <v>147</v>
      </c>
      <c r="B80" s="2" t="b">
        <f>TOTAL_SPEND&lt;=BUDGET+0.001</f>
        <v>1</v>
      </c>
      <c r="C80" s="2"/>
      <c r="D80" s="2"/>
      <c r="E80" s="2"/>
      <c r="F80" s="2"/>
      <c r="G80" s="2"/>
      <c r="H80" s="2"/>
      <c r="I80" s="2" t="s">
        <v>148</v>
      </c>
      <c r="J80" s="2"/>
    </row>
    <row r="81" spans="1:10" ht="15" customHeight="1" x14ac:dyDescent="0.55000000000000004">
      <c r="A81" s="2" t="s">
        <v>149</v>
      </c>
      <c r="B81" s="2" t="b">
        <f>TOTAL_SPEND&gt;=SPEND_FLOOR-0.001</f>
        <v>1</v>
      </c>
      <c r="C81" s="2"/>
      <c r="D81" s="2"/>
      <c r="E81" s="2"/>
      <c r="F81" s="2"/>
      <c r="G81" s="2"/>
      <c r="H81" s="2"/>
      <c r="I81" s="2" t="s">
        <v>150</v>
      </c>
      <c r="J81" s="2"/>
    </row>
    <row r="82" spans="1:10" ht="15" customHeight="1" x14ac:dyDescent="0.55000000000000004">
      <c r="A82" s="2" t="s">
        <v>151</v>
      </c>
      <c r="B82" s="2" t="b">
        <f>AEGIS_CELL_SLACK&gt;=-0.001</f>
        <v>1</v>
      </c>
      <c r="C82" s="2"/>
      <c r="D82" s="2"/>
      <c r="E82" s="2"/>
      <c r="F82" s="2"/>
      <c r="G82" s="2"/>
      <c r="H82" s="2"/>
      <c r="I82" s="2" t="s">
        <v>152</v>
      </c>
      <c r="J82" s="2"/>
    </row>
    <row r="83" spans="1:10" ht="15" customHeight="1" x14ac:dyDescent="0.55000000000000004">
      <c r="A83" s="2" t="s">
        <v>153</v>
      </c>
      <c r="B83" s="2" t="b">
        <f>PATRIOT_SLACK&gt;=-0.001</f>
        <v>1</v>
      </c>
      <c r="C83" s="2"/>
      <c r="D83" s="2"/>
      <c r="E83" s="2"/>
      <c r="F83" s="2"/>
      <c r="G83" s="2"/>
      <c r="H83" s="2"/>
      <c r="I83" s="2" t="s">
        <v>154</v>
      </c>
      <c r="J83" s="2"/>
    </row>
    <row r="84" spans="1:10" ht="15" customHeight="1" x14ac:dyDescent="0.55000000000000004">
      <c r="A84" s="2" t="s">
        <v>155</v>
      </c>
      <c r="B84" s="2" t="b">
        <f>THAAD_SLACK&gt;=-0.001</f>
        <v>1</v>
      </c>
      <c r="C84" s="2"/>
      <c r="D84" s="2"/>
      <c r="E84" s="2"/>
      <c r="F84" s="2"/>
      <c r="G84" s="2"/>
      <c r="H84" s="2"/>
      <c r="I84" s="2" t="s">
        <v>156</v>
      </c>
      <c r="J84" s="2"/>
    </row>
    <row r="85" spans="1:10" ht="15" customHeight="1" x14ac:dyDescent="0.55000000000000004">
      <c r="A85" s="2" t="s">
        <v>157</v>
      </c>
      <c r="B85" s="2" t="b">
        <f>MIN(CAP_SLACK)&gt;=0</f>
        <v>1</v>
      </c>
      <c r="C85" s="2"/>
      <c r="D85" s="2"/>
      <c r="E85" s="2"/>
      <c r="F85" s="2"/>
      <c r="G85" s="2"/>
      <c r="H85" s="2"/>
      <c r="I85" s="2" t="s">
        <v>158</v>
      </c>
      <c r="J85" s="2"/>
    </row>
    <row r="86" spans="1:10" ht="15" customHeight="1" x14ac:dyDescent="0.55000000000000004">
      <c r="A86" s="2" t="s">
        <v>159</v>
      </c>
      <c r="B86" s="2" t="b">
        <f>SUMPRODUCT(--(D&lt;MIN_REQUIRED-0.001))=0</f>
        <v>1</v>
      </c>
      <c r="C86" s="2"/>
      <c r="D86" s="2"/>
      <c r="E86" s="2"/>
      <c r="F86" s="2"/>
      <c r="G86" s="2"/>
      <c r="H86" s="2"/>
      <c r="I86" s="2" t="s">
        <v>160</v>
      </c>
      <c r="J86" s="2"/>
    </row>
    <row r="87" spans="1:10" ht="15" customHeight="1" x14ac:dyDescent="0.55000000000000004">
      <c r="A87" s="2" t="s">
        <v>161</v>
      </c>
      <c r="B87" s="2" t="b">
        <f>SUMPRODUCT(--(B9:G12=0),B35:G38)+SUMPRODUCT(--(B9:G12=0),B108:G111)=0</f>
        <v>1</v>
      </c>
      <c r="C87" s="2"/>
      <c r="D87" s="2"/>
      <c r="E87" s="2"/>
      <c r="F87" s="2"/>
      <c r="G87" s="2"/>
      <c r="H87" s="2"/>
      <c r="I87" s="2" t="s">
        <v>162</v>
      </c>
      <c r="J87" s="2"/>
    </row>
    <row r="88" spans="1:10" ht="15" customHeight="1" x14ac:dyDescent="0.55000000000000004">
      <c r="A88" s="2" t="s">
        <v>163</v>
      </c>
      <c r="B88" s="2" t="b">
        <f>SUMPRODUCT(--(B35:G38&lt;&gt;ROUND(B35:G38,0)))+SUMPRODUCT(--(B108:G111&lt;&gt;ROUND(B108:G111,0)))=0</f>
        <v>1</v>
      </c>
      <c r="C88" s="2"/>
      <c r="D88" s="2"/>
      <c r="E88" s="2"/>
      <c r="F88" s="2"/>
      <c r="G88" s="2"/>
      <c r="H88" s="2"/>
      <c r="I88" s="2" t="s">
        <v>164</v>
      </c>
      <c r="J88" s="2"/>
    </row>
    <row r="89" spans="1:10" ht="15" customHeight="1" x14ac:dyDescent="0.55000000000000004">
      <c r="A89" s="7" t="s">
        <v>165</v>
      </c>
      <c r="B89" s="7" t="b">
        <f>AND(B80:B88,B130:B134)</f>
        <v>1</v>
      </c>
      <c r="C89" s="2"/>
      <c r="D89" s="2"/>
      <c r="E89" s="2"/>
      <c r="F89" s="2"/>
      <c r="G89" s="2"/>
      <c r="H89" s="2"/>
      <c r="I89" s="2"/>
      <c r="J89" s="2"/>
    </row>
    <row r="90" spans="1:10" ht="15" customHeight="1" x14ac:dyDescent="0.55000000000000004">
      <c r="A90" s="2"/>
      <c r="B90" s="2"/>
      <c r="C90" s="2"/>
      <c r="D90" s="2"/>
      <c r="E90" s="2"/>
      <c r="F90" s="2"/>
      <c r="G90" s="2"/>
      <c r="H90" s="2"/>
      <c r="I90" s="2"/>
      <c r="J90" s="2"/>
    </row>
    <row r="91" spans="1:10" ht="15" customHeight="1" x14ac:dyDescent="0.55000000000000004">
      <c r="A91" s="4" t="s">
        <v>166</v>
      </c>
      <c r="B91" s="5"/>
      <c r="C91" s="5"/>
      <c r="D91" s="5"/>
      <c r="E91" s="5"/>
      <c r="F91" s="5"/>
      <c r="G91" s="5"/>
      <c r="H91" s="5"/>
      <c r="I91" s="5"/>
      <c r="J91" s="5"/>
    </row>
    <row r="92" spans="1:10" ht="15" customHeight="1" x14ac:dyDescent="0.55000000000000004">
      <c r="A92" s="6" t="s">
        <v>167</v>
      </c>
      <c r="B92" s="6" t="s">
        <v>168</v>
      </c>
      <c r="C92" s="6" t="s">
        <v>169</v>
      </c>
      <c r="D92" s="6" t="s">
        <v>170</v>
      </c>
      <c r="E92" s="2"/>
      <c r="F92" s="2"/>
      <c r="G92" s="2"/>
      <c r="H92" s="2"/>
      <c r="I92" s="2"/>
      <c r="J92" s="2"/>
    </row>
    <row r="93" spans="1:10" ht="15" customHeight="1" x14ac:dyDescent="0.55000000000000004">
      <c r="A93" s="2" t="s">
        <v>171</v>
      </c>
      <c r="B93" s="27">
        <f>20*(1-EXP(-7/20))</f>
        <v>5.9062382056257317</v>
      </c>
      <c r="C93" s="10">
        <v>5.9059999999999997</v>
      </c>
      <c r="D93" s="2" t="b">
        <f>ROUND(B93,3)=C93</f>
        <v>1</v>
      </c>
      <c r="E93" s="2"/>
      <c r="F93" s="2"/>
      <c r="G93" s="2"/>
      <c r="H93" s="2"/>
      <c r="I93" s="2"/>
      <c r="J93" s="2"/>
    </row>
    <row r="94" spans="1:10" ht="15" customHeight="1" x14ac:dyDescent="0.55000000000000004">
      <c r="A94" s="2" t="s">
        <v>172</v>
      </c>
      <c r="B94" s="27">
        <f>20*(1-EXP(-7.7/20))</f>
        <v>6.3909872759082464</v>
      </c>
      <c r="C94" s="10">
        <v>6.391</v>
      </c>
      <c r="D94" s="2" t="b">
        <f>ROUND(B94,3)=C94</f>
        <v>1</v>
      </c>
      <c r="E94" s="2"/>
      <c r="F94" s="2"/>
      <c r="G94" s="2"/>
      <c r="H94" s="2"/>
      <c r="I94" s="2"/>
      <c r="J94" s="2"/>
    </row>
    <row r="95" spans="1:10" ht="15" customHeight="1" x14ac:dyDescent="0.55000000000000004">
      <c r="A95" s="2" t="s">
        <v>173</v>
      </c>
      <c r="B95" s="27">
        <f>96/16</f>
        <v>6</v>
      </c>
      <c r="C95" s="10">
        <v>6</v>
      </c>
      <c r="D95" s="2" t="b">
        <f>B95=C95</f>
        <v>1</v>
      </c>
      <c r="E95" s="2"/>
      <c r="F95" s="2"/>
      <c r="G95" s="2"/>
      <c r="H95" s="2"/>
      <c r="I95" s="2"/>
      <c r="J95" s="2"/>
    </row>
    <row r="96" spans="1:10" ht="15" customHeight="1" x14ac:dyDescent="0.55000000000000004">
      <c r="A96" s="2" t="s">
        <v>174</v>
      </c>
      <c r="B96" s="27">
        <f>72/12</f>
        <v>6</v>
      </c>
      <c r="C96" s="10">
        <v>6</v>
      </c>
      <c r="D96" s="2" t="b">
        <f>B96=C96</f>
        <v>1</v>
      </c>
      <c r="E96" s="2"/>
      <c r="F96" s="2"/>
      <c r="G96" s="2"/>
      <c r="H96" s="2"/>
      <c r="I96" s="2"/>
      <c r="J96" s="2"/>
    </row>
    <row r="98" spans="1:9" x14ac:dyDescent="0.55000000000000004">
      <c r="A98" s="4" t="s">
        <v>175</v>
      </c>
      <c r="B98" s="5"/>
      <c r="C98" s="5"/>
      <c r="D98" s="5"/>
      <c r="E98" s="5"/>
      <c r="F98" s="5"/>
      <c r="G98" s="5"/>
      <c r="H98" s="5"/>
      <c r="I98" s="5"/>
    </row>
    <row r="99" spans="1:9" x14ac:dyDescent="0.55000000000000004">
      <c r="A99" s="6" t="s">
        <v>4</v>
      </c>
      <c r="B99" s="6" t="s">
        <v>48</v>
      </c>
      <c r="C99" s="6"/>
      <c r="D99" s="6"/>
      <c r="E99" s="6"/>
      <c r="F99" s="6"/>
      <c r="G99" s="6"/>
      <c r="H99" s="6" t="s">
        <v>11</v>
      </c>
      <c r="I99" s="6" t="s">
        <v>12</v>
      </c>
    </row>
    <row r="100" spans="1:9" x14ac:dyDescent="0.55000000000000004">
      <c r="A100" s="7" t="s">
        <v>176</v>
      </c>
      <c r="B100" s="30">
        <v>16</v>
      </c>
      <c r="C100" s="2"/>
      <c r="D100" s="2"/>
      <c r="E100" s="2"/>
      <c r="F100" s="2"/>
      <c r="G100" s="2"/>
      <c r="H100" s="2" t="s">
        <v>177</v>
      </c>
      <c r="I100" s="2" t="s">
        <v>178</v>
      </c>
    </row>
    <row r="101" spans="1:9" x14ac:dyDescent="0.55000000000000004">
      <c r="A101" s="7" t="s">
        <v>179</v>
      </c>
      <c r="B101" s="30">
        <v>2</v>
      </c>
      <c r="C101" s="2"/>
      <c r="D101" s="2"/>
      <c r="E101" s="2"/>
      <c r="F101" s="2"/>
      <c r="G101" s="2"/>
      <c r="H101" s="2" t="s">
        <v>180</v>
      </c>
      <c r="I101" s="2" t="s">
        <v>181</v>
      </c>
    </row>
    <row r="102" spans="1:9" x14ac:dyDescent="0.55000000000000004">
      <c r="A102" s="7" t="s">
        <v>182</v>
      </c>
      <c r="B102" s="30">
        <v>4</v>
      </c>
      <c r="C102" s="2"/>
      <c r="D102" s="2"/>
      <c r="E102" s="2"/>
      <c r="F102" s="2"/>
      <c r="G102" s="2"/>
      <c r="H102" s="2" t="s">
        <v>183</v>
      </c>
      <c r="I102" s="2" t="s">
        <v>184</v>
      </c>
    </row>
    <row r="103" spans="1:9" x14ac:dyDescent="0.55000000000000004">
      <c r="A103" s="7" t="s">
        <v>185</v>
      </c>
      <c r="B103" s="30">
        <v>16</v>
      </c>
      <c r="C103" s="2"/>
      <c r="D103" s="2"/>
      <c r="E103" s="2"/>
      <c r="F103" s="2"/>
      <c r="G103" s="2"/>
      <c r="H103" s="2" t="s">
        <v>177</v>
      </c>
      <c r="I103" s="2" t="s">
        <v>186</v>
      </c>
    </row>
    <row r="104" spans="1:9" x14ac:dyDescent="0.55000000000000004">
      <c r="A104" s="7" t="s">
        <v>187</v>
      </c>
      <c r="B104" s="30">
        <v>16</v>
      </c>
      <c r="C104" s="2"/>
      <c r="D104" s="2"/>
      <c r="E104" s="2"/>
      <c r="F104" s="2"/>
      <c r="G104" s="2"/>
      <c r="H104" s="2" t="s">
        <v>177</v>
      </c>
      <c r="I104" s="2" t="s">
        <v>188</v>
      </c>
    </row>
    <row r="106" spans="1:9" x14ac:dyDescent="0.55000000000000004">
      <c r="A106" s="4" t="s">
        <v>189</v>
      </c>
      <c r="B106" s="5"/>
      <c r="C106" s="5"/>
      <c r="D106" s="5"/>
      <c r="E106" s="5"/>
      <c r="F106" s="5"/>
      <c r="G106" s="5"/>
      <c r="H106" s="5"/>
      <c r="I106" s="5"/>
    </row>
    <row r="107" spans="1:9" x14ac:dyDescent="0.55000000000000004">
      <c r="A107" s="6" t="s">
        <v>190</v>
      </c>
      <c r="B107" s="6" t="s">
        <v>5</v>
      </c>
      <c r="C107" s="6" t="s">
        <v>6</v>
      </c>
      <c r="D107" s="6" t="s">
        <v>7</v>
      </c>
      <c r="E107" s="6" t="s">
        <v>8</v>
      </c>
      <c r="F107" s="6" t="s">
        <v>9</v>
      </c>
      <c r="G107" s="6" t="s">
        <v>10</v>
      </c>
      <c r="H107" s="6" t="s">
        <v>11</v>
      </c>
      <c r="I107" s="6" t="s">
        <v>78</v>
      </c>
    </row>
    <row r="108" spans="1:9" x14ac:dyDescent="0.55000000000000004">
      <c r="A108" s="7" t="s">
        <v>191</v>
      </c>
      <c r="B108" s="19">
        <v>22</v>
      </c>
      <c r="C108" s="19">
        <v>0</v>
      </c>
      <c r="D108" s="19">
        <v>0</v>
      </c>
      <c r="E108" s="19">
        <v>0</v>
      </c>
      <c r="F108" s="19">
        <v>0</v>
      </c>
      <c r="G108" s="19">
        <v>0</v>
      </c>
      <c r="H108" s="2" t="s">
        <v>70</v>
      </c>
      <c r="I108" s="2" t="s">
        <v>192</v>
      </c>
    </row>
    <row r="109" spans="1:9" x14ac:dyDescent="0.55000000000000004">
      <c r="A109" s="7" t="s">
        <v>193</v>
      </c>
      <c r="B109" s="19">
        <v>12</v>
      </c>
      <c r="C109" s="19">
        <v>0</v>
      </c>
      <c r="D109" s="19">
        <v>0</v>
      </c>
      <c r="E109" s="19">
        <v>0</v>
      </c>
      <c r="F109" s="19">
        <v>0</v>
      </c>
      <c r="G109" s="19">
        <v>0</v>
      </c>
      <c r="H109" s="2" t="s">
        <v>70</v>
      </c>
      <c r="I109" s="2" t="s">
        <v>192</v>
      </c>
    </row>
    <row r="110" spans="1:9" x14ac:dyDescent="0.55000000000000004">
      <c r="A110" s="7" t="s">
        <v>194</v>
      </c>
      <c r="B110" s="19">
        <v>3</v>
      </c>
      <c r="C110" s="19">
        <v>0</v>
      </c>
      <c r="D110" s="19">
        <v>0</v>
      </c>
      <c r="E110" s="19">
        <v>0</v>
      </c>
      <c r="F110" s="19">
        <v>0</v>
      </c>
      <c r="G110" s="19">
        <v>0</v>
      </c>
      <c r="H110" s="2" t="s">
        <v>70</v>
      </c>
      <c r="I110" s="2" t="s">
        <v>192</v>
      </c>
    </row>
    <row r="111" spans="1:9" x14ac:dyDescent="0.55000000000000004">
      <c r="A111" s="7" t="s">
        <v>195</v>
      </c>
      <c r="B111" s="19">
        <v>5</v>
      </c>
      <c r="C111" s="19">
        <v>0</v>
      </c>
      <c r="D111" s="19">
        <v>0</v>
      </c>
      <c r="E111" s="19">
        <v>0</v>
      </c>
      <c r="F111" s="19">
        <v>0</v>
      </c>
      <c r="G111" s="19">
        <v>0</v>
      </c>
      <c r="H111" s="2" t="s">
        <v>70</v>
      </c>
      <c r="I111" s="2" t="s">
        <v>192</v>
      </c>
    </row>
    <row r="113" spans="1:9" x14ac:dyDescent="0.55000000000000004">
      <c r="A113" s="4" t="s">
        <v>196</v>
      </c>
      <c r="B113" s="5"/>
      <c r="C113" s="5"/>
      <c r="D113" s="5"/>
      <c r="E113" s="5"/>
      <c r="F113" s="5"/>
      <c r="G113" s="5"/>
      <c r="H113" s="5"/>
      <c r="I113" s="5"/>
    </row>
    <row r="114" spans="1:9" x14ac:dyDescent="0.55000000000000004">
      <c r="A114" s="6" t="s">
        <v>4</v>
      </c>
      <c r="B114" s="6" t="s">
        <v>48</v>
      </c>
      <c r="C114" s="6"/>
      <c r="D114" s="6"/>
      <c r="E114" s="6"/>
      <c r="F114" s="6"/>
      <c r="G114" s="6"/>
      <c r="H114" s="6" t="s">
        <v>11</v>
      </c>
      <c r="I114" s="6" t="s">
        <v>90</v>
      </c>
    </row>
    <row r="115" spans="1:9" x14ac:dyDescent="0.55000000000000004">
      <c r="A115" s="7" t="s">
        <v>197</v>
      </c>
      <c r="B115" s="31">
        <f>MIN(SITES,SITES_PER_PATRIOT*PATRIOT_BATTERIES)</f>
        <v>2</v>
      </c>
      <c r="C115" s="2"/>
      <c r="D115" s="2"/>
      <c r="E115" s="2"/>
      <c r="F115" s="2"/>
      <c r="G115" s="2"/>
      <c r="H115" s="2" t="s">
        <v>177</v>
      </c>
      <c r="I115" s="2" t="s">
        <v>198</v>
      </c>
    </row>
    <row r="116" spans="1:9" x14ac:dyDescent="0.55000000000000004">
      <c r="A116" s="7" t="s">
        <v>199</v>
      </c>
      <c r="B116" s="32">
        <f>PATRIOT_SITES_COVERED/SITES</f>
        <v>0.125</v>
      </c>
      <c r="C116" s="2"/>
      <c r="D116" s="2"/>
      <c r="E116" s="2"/>
      <c r="F116" s="2"/>
      <c r="G116" s="2"/>
      <c r="H116" s="2" t="s">
        <v>200</v>
      </c>
      <c r="I116" s="2" t="s">
        <v>201</v>
      </c>
    </row>
    <row r="117" spans="1:9" x14ac:dyDescent="0.55000000000000004">
      <c r="A117" s="7" t="s">
        <v>202</v>
      </c>
      <c r="B117" s="31">
        <f>SITES-PATRIOT_SITES_COVERED</f>
        <v>14</v>
      </c>
      <c r="C117" s="2"/>
      <c r="D117" s="2"/>
      <c r="E117" s="2"/>
      <c r="F117" s="2"/>
      <c r="G117" s="2"/>
      <c r="H117" s="2" t="s">
        <v>177</v>
      </c>
      <c r="I117" s="2" t="s">
        <v>203</v>
      </c>
    </row>
    <row r="118" spans="1:9" x14ac:dyDescent="0.55000000000000004">
      <c r="A118" s="7" t="s">
        <v>204</v>
      </c>
      <c r="B118" s="21">
        <f>100000*PATRIOT_SITES_COVERED-SUM(QC)</f>
        <v>199958</v>
      </c>
      <c r="C118" s="2"/>
      <c r="D118" s="2"/>
      <c r="E118" s="2"/>
      <c r="F118" s="2"/>
      <c r="G118" s="2"/>
      <c r="H118" s="2" t="s">
        <v>70</v>
      </c>
      <c r="I118" s="2" t="s">
        <v>205</v>
      </c>
    </row>
    <row r="120" spans="1:9" x14ac:dyDescent="0.55000000000000004">
      <c r="A120" s="6" t="s">
        <v>4</v>
      </c>
      <c r="B120" s="6" t="s">
        <v>34</v>
      </c>
      <c r="C120" s="6" t="s">
        <v>35</v>
      </c>
      <c r="D120" s="6" t="s">
        <v>36</v>
      </c>
      <c r="E120" s="6" t="s">
        <v>37</v>
      </c>
      <c r="F120" s="6" t="s">
        <v>95</v>
      </c>
      <c r="G120" s="2"/>
      <c r="H120" s="6" t="s">
        <v>11</v>
      </c>
      <c r="I120" s="6" t="s">
        <v>90</v>
      </c>
    </row>
    <row r="121" spans="1:9" x14ac:dyDescent="0.55000000000000004">
      <c r="A121" s="7" t="s">
        <v>206</v>
      </c>
      <c r="B121" s="33">
        <f>B19*$B$116</f>
        <v>5</v>
      </c>
      <c r="C121" s="33">
        <f>C19*$B$116</f>
        <v>3.75</v>
      </c>
      <c r="D121" s="33">
        <f>D19*$B$116</f>
        <v>1.25</v>
      </c>
      <c r="E121" s="33">
        <f>E19*$B$116</f>
        <v>6.25</v>
      </c>
      <c r="F121" s="33">
        <f t="shared" ref="F121:F126" si="3">SUM(B121:E121)</f>
        <v>16.25</v>
      </c>
      <c r="G121" s="2"/>
      <c r="H121" s="2" t="s">
        <v>100</v>
      </c>
      <c r="I121" s="2" t="s">
        <v>207</v>
      </c>
    </row>
    <row r="122" spans="1:9" x14ac:dyDescent="0.55000000000000004">
      <c r="A122" s="7" t="s">
        <v>208</v>
      </c>
      <c r="B122" s="33">
        <f>B19*(1-$B$116)</f>
        <v>35</v>
      </c>
      <c r="C122" s="33">
        <f>C19*(1-$B$116)</f>
        <v>26.25</v>
      </c>
      <c r="D122" s="33">
        <f>D19*(1-$B$116)</f>
        <v>8.75</v>
      </c>
      <c r="E122" s="33">
        <f>E19*(1-$B$116)</f>
        <v>43.75</v>
      </c>
      <c r="F122" s="33">
        <f t="shared" si="3"/>
        <v>113.75</v>
      </c>
      <c r="G122" s="2"/>
      <c r="H122" s="2" t="s">
        <v>100</v>
      </c>
      <c r="I122" s="2" t="s">
        <v>209</v>
      </c>
    </row>
    <row r="123" spans="1:9" x14ac:dyDescent="0.55000000000000004">
      <c r="A123" s="7" t="s">
        <v>210</v>
      </c>
      <c r="B123" s="23">
        <f>SUMPRODUCT($B$9:$G$9,$B$108:$G$108)</f>
        <v>13.2</v>
      </c>
      <c r="C123" s="23">
        <f>SUMPRODUCT($B$10:$G$10,$B$109:$G$109)</f>
        <v>8.3999999999999986</v>
      </c>
      <c r="D123" s="23">
        <f>SUMPRODUCT($B$11:$G$11,$B$110:$G$110)</f>
        <v>2.25</v>
      </c>
      <c r="E123" s="23">
        <f>SUMPRODUCT($B$12:$G$12,$B$111:$G$111)</f>
        <v>4.25</v>
      </c>
      <c r="F123" s="23">
        <f t="shared" si="3"/>
        <v>28.099999999999998</v>
      </c>
      <c r="G123" s="2"/>
      <c r="H123" s="2" t="s">
        <v>97</v>
      </c>
      <c r="I123" s="2" t="s">
        <v>211</v>
      </c>
    </row>
    <row r="124" spans="1:9" x14ac:dyDescent="0.55000000000000004">
      <c r="A124" s="7" t="s">
        <v>212</v>
      </c>
      <c r="B124" s="23">
        <f>SUMPRODUCT($B$9:$G$9,$B$35:$G$35)</f>
        <v>55.4</v>
      </c>
      <c r="C124" s="23">
        <f>SUMPRODUCT($B$10:$G$10,$B$36:$G$36)</f>
        <v>36</v>
      </c>
      <c r="D124" s="23">
        <f>SUMPRODUCT($B$11:$G$11,$B$37:$G$37)</f>
        <v>10.4</v>
      </c>
      <c r="E124" s="23">
        <f>SUMPRODUCT($B$12:$G$12,$B$38:$G$38)</f>
        <v>0</v>
      </c>
      <c r="F124" s="23">
        <f t="shared" si="3"/>
        <v>101.80000000000001</v>
      </c>
      <c r="G124" s="2"/>
      <c r="H124" s="2" t="s">
        <v>97</v>
      </c>
      <c r="I124" s="2" t="s">
        <v>213</v>
      </c>
    </row>
    <row r="125" spans="1:9" x14ac:dyDescent="0.55000000000000004">
      <c r="A125" s="7" t="s">
        <v>214</v>
      </c>
      <c r="B125" s="23">
        <f t="shared" ref="B125:E126" si="4">IF(B121=0,0,B121*(1-EXP(-B123/B121)))</f>
        <v>4.6431936522180699</v>
      </c>
      <c r="C125" s="23">
        <f t="shared" si="4"/>
        <v>3.3507806085778018</v>
      </c>
      <c r="D125" s="23">
        <f t="shared" si="4"/>
        <v>1.0433763897230168</v>
      </c>
      <c r="E125" s="23">
        <f t="shared" si="4"/>
        <v>3.0836437977150655</v>
      </c>
      <c r="F125" s="23">
        <f t="shared" si="3"/>
        <v>12.120994448233954</v>
      </c>
      <c r="G125" s="2"/>
      <c r="H125" s="2" t="s">
        <v>100</v>
      </c>
      <c r="I125" s="2" t="s">
        <v>215</v>
      </c>
    </row>
    <row r="126" spans="1:9" x14ac:dyDescent="0.55000000000000004">
      <c r="A126" s="7" t="s">
        <v>216</v>
      </c>
      <c r="B126" s="23">
        <f t="shared" si="4"/>
        <v>27.811439675639356</v>
      </c>
      <c r="C126" s="23">
        <f t="shared" si="4"/>
        <v>19.589214519525807</v>
      </c>
      <c r="D126" s="23">
        <f t="shared" si="4"/>
        <v>6.0842584560602999</v>
      </c>
      <c r="E126" s="23">
        <f t="shared" si="4"/>
        <v>0</v>
      </c>
      <c r="F126" s="23">
        <f t="shared" si="3"/>
        <v>53.484912651225457</v>
      </c>
      <c r="G126" s="2"/>
      <c r="H126" s="2" t="s">
        <v>100</v>
      </c>
      <c r="I126" s="2" t="s">
        <v>217</v>
      </c>
    </row>
    <row r="128" spans="1:9" x14ac:dyDescent="0.55000000000000004">
      <c r="A128" s="4" t="s">
        <v>218</v>
      </c>
      <c r="B128" s="5"/>
      <c r="C128" s="5"/>
      <c r="D128" s="5"/>
      <c r="E128" s="5"/>
      <c r="F128" s="5"/>
      <c r="G128" s="5"/>
      <c r="H128" s="5"/>
      <c r="I128" s="5"/>
    </row>
    <row r="129" spans="1:9" x14ac:dyDescent="0.55000000000000004">
      <c r="A129" s="6" t="s">
        <v>144</v>
      </c>
      <c r="B129" s="6" t="s">
        <v>145</v>
      </c>
      <c r="C129" s="2"/>
      <c r="D129" s="2"/>
      <c r="E129" s="2"/>
      <c r="F129" s="2"/>
      <c r="G129" s="2"/>
      <c r="H129" s="2"/>
      <c r="I129" s="6" t="s">
        <v>146</v>
      </c>
    </row>
    <row r="130" spans="1:9" x14ac:dyDescent="0.55000000000000004">
      <c r="A130" s="2" t="s">
        <v>219</v>
      </c>
      <c r="B130" s="2" t="b">
        <f>AND(PATRIOT_BATTERIES&gt;=0,PATRIOT_BATTERIES&lt;=PATRIOT_MAX,PATRIOT_BATTERIES=ROUND(PATRIOT_BATTERIES,0))</f>
        <v>1</v>
      </c>
      <c r="C130" s="2"/>
      <c r="D130" s="2"/>
      <c r="E130" s="2"/>
      <c r="F130" s="2"/>
      <c r="G130" s="2"/>
      <c r="H130" s="2"/>
      <c r="I130" s="2" t="s">
        <v>220</v>
      </c>
    </row>
    <row r="131" spans="1:9" x14ac:dyDescent="0.55000000000000004">
      <c r="A131" s="2" t="s">
        <v>221</v>
      </c>
      <c r="B131" s="2" t="b">
        <f>SITES_PER_PATRIOT*PATRIOT_BATTERIES&lt;=SITES</f>
        <v>1</v>
      </c>
      <c r="C131" s="2"/>
      <c r="D131" s="2"/>
      <c r="E131" s="2"/>
      <c r="F131" s="2"/>
      <c r="G131" s="2"/>
      <c r="H131" s="2"/>
      <c r="I131" s="2" t="s">
        <v>222</v>
      </c>
    </row>
    <row r="132" spans="1:9" x14ac:dyDescent="0.55000000000000004">
      <c r="A132" s="2" t="s">
        <v>223</v>
      </c>
      <c r="B132" s="2" t="b">
        <f>SUM(B35:C38)=0</f>
        <v>1</v>
      </c>
      <c r="C132" s="2"/>
      <c r="D132" s="2"/>
      <c r="E132" s="2"/>
      <c r="F132" s="2"/>
      <c r="G132" s="2"/>
      <c r="H132" s="2"/>
      <c r="I132" s="2" t="s">
        <v>224</v>
      </c>
    </row>
    <row r="133" spans="1:9" x14ac:dyDescent="0.55000000000000004">
      <c r="A133" s="2" t="s">
        <v>225</v>
      </c>
      <c r="B133" s="2" t="b">
        <f>IF(PATRIOT_SITES_COVERED=0,SUM(QC)=0,TRUE)</f>
        <v>1</v>
      </c>
      <c r="C133" s="2"/>
      <c r="D133" s="2"/>
      <c r="E133" s="2"/>
      <c r="F133" s="2"/>
      <c r="G133" s="2"/>
      <c r="H133" s="2"/>
      <c r="I133" s="2" t="s">
        <v>226</v>
      </c>
    </row>
    <row r="134" spans="1:9" x14ac:dyDescent="0.55000000000000004">
      <c r="A134" s="2" t="s">
        <v>227</v>
      </c>
      <c r="B134" s="2" t="b">
        <f>AND(AEGIS_SITES=SITES,THAAD_SITES=SITES)</f>
        <v>1</v>
      </c>
      <c r="C134" s="2"/>
      <c r="D134" s="2"/>
      <c r="E134" s="2"/>
      <c r="F134" s="2"/>
      <c r="G134" s="2"/>
      <c r="H134" s="2"/>
      <c r="I134" s="2" t="s">
        <v>228</v>
      </c>
    </row>
    <row r="136" spans="1:9" x14ac:dyDescent="0.55000000000000004">
      <c r="A136" s="4" t="s">
        <v>229</v>
      </c>
      <c r="B136" s="5"/>
      <c r="C136" s="5"/>
      <c r="D136" s="5"/>
      <c r="E136" s="5"/>
      <c r="F136" s="5"/>
      <c r="G136" s="5"/>
      <c r="H136" s="5"/>
      <c r="I136" s="5"/>
    </row>
    <row r="137" spans="1:9" x14ac:dyDescent="0.55000000000000004">
      <c r="A137" s="6" t="s">
        <v>167</v>
      </c>
      <c r="B137" s="6" t="s">
        <v>168</v>
      </c>
      <c r="C137" s="6" t="s">
        <v>169</v>
      </c>
      <c r="D137" s="6" t="s">
        <v>170</v>
      </c>
      <c r="E137" s="2"/>
      <c r="F137" s="2"/>
      <c r="G137" s="2"/>
      <c r="H137" s="2"/>
      <c r="I137" s="2"/>
    </row>
    <row r="138" spans="1:9" x14ac:dyDescent="0.55000000000000004">
      <c r="A138" s="2" t="s">
        <v>230</v>
      </c>
      <c r="B138" s="27">
        <f>MIN(16,2*4)/16</f>
        <v>0.5</v>
      </c>
      <c r="C138" s="10">
        <v>0.5</v>
      </c>
      <c r="D138" s="2" t="b">
        <f>B138=C138</f>
        <v>1</v>
      </c>
      <c r="E138" s="2"/>
      <c r="F138" s="2"/>
      <c r="G138" s="2"/>
      <c r="H138" s="2"/>
      <c r="I138" s="2"/>
    </row>
    <row r="139" spans="1:9" x14ac:dyDescent="0.55000000000000004">
      <c r="A139" s="2" t="s">
        <v>231</v>
      </c>
      <c r="B139" s="27">
        <f>40*(MIN(16,2*4)/16)</f>
        <v>20</v>
      </c>
      <c r="C139" s="10">
        <v>20</v>
      </c>
      <c r="D139" s="2" t="b">
        <f>B139=C139</f>
        <v>1</v>
      </c>
      <c r="E139" s="2"/>
      <c r="F139" s="2"/>
      <c r="G139" s="2"/>
      <c r="H139" s="2"/>
      <c r="I139" s="2"/>
    </row>
    <row r="140" spans="1:9" x14ac:dyDescent="0.55000000000000004">
      <c r="A140" s="2" t="s">
        <v>232</v>
      </c>
      <c r="B140" s="27">
        <f>4*6*16</f>
        <v>384</v>
      </c>
      <c r="C140" s="10">
        <v>384</v>
      </c>
      <c r="D140" s="2" t="b">
        <f>B140=C140</f>
        <v>1</v>
      </c>
      <c r="E140" s="2"/>
      <c r="F140" s="2"/>
      <c r="G140" s="2"/>
      <c r="H140" s="2"/>
      <c r="I140" s="2"/>
    </row>
    <row r="141" spans="1:9" x14ac:dyDescent="0.55000000000000004">
      <c r="A141" s="2" t="s">
        <v>233</v>
      </c>
      <c r="B141" s="27">
        <f>50*(1-MIN(16,2*4)/16)</f>
        <v>25</v>
      </c>
      <c r="C141" s="10">
        <v>25</v>
      </c>
      <c r="D141" s="2" t="b">
        <f>B141=C141</f>
        <v>1</v>
      </c>
      <c r="E141" s="2"/>
      <c r="F141" s="2"/>
      <c r="G141" s="2"/>
      <c r="H141" s="2"/>
      <c r="I141" s="2"/>
    </row>
  </sheetData>
  <dataValidations count="1">
    <dataValidation type="whole" showErrorMessage="1" errorTitle="Patriot batteries" error="Whole number from 0 to PATRIOT_MAX (Guam limit)." sqref="C41" xr:uid="{00000000-0002-0000-0000-000001000000}">
      <formula1>0</formula1>
      <formula2>PATRIOT_MAX</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xr:uid="{00000000-0002-0000-0000-000000000000}">
          <x14:formula1>
            <xm:f>Scenarios!$A$5:$A$7</xm:f>
          </x14:formula1>
          <x14:formula2>
            <xm:f>0</xm:f>
          </x14:formula2>
          <xm:sqref>B31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7"/>
  <sheetViews>
    <sheetView zoomScaleNormal="100" workbookViewId="0"/>
  </sheetViews>
  <sheetFormatPr defaultColWidth="8.68359375" defaultRowHeight="14.4" x14ac:dyDescent="0.55000000000000004"/>
  <cols>
    <col min="1" max="1" width="14" customWidth="1"/>
    <col min="2" max="2" width="22" customWidth="1"/>
    <col min="3" max="4" width="12" customWidth="1"/>
    <col min="5" max="5" width="11" customWidth="1"/>
    <col min="6" max="6" width="16" customWidth="1"/>
    <col min="7" max="8" width="11" customWidth="1"/>
    <col min="9" max="9" width="9" customWidth="1"/>
    <col min="10" max="10" width="10" customWidth="1"/>
    <col min="11" max="12" width="8" customWidth="1"/>
  </cols>
  <sheetData>
    <row r="1" spans="1:13" ht="17.25" customHeight="1" x14ac:dyDescent="0.6">
      <c r="A1" s="1" t="s">
        <v>234</v>
      </c>
    </row>
    <row r="2" spans="1:13" ht="15" customHeight="1" x14ac:dyDescent="0.55000000000000004">
      <c r="A2" s="3" t="s">
        <v>235</v>
      </c>
    </row>
    <row r="4" spans="1:13" ht="15" customHeight="1" x14ac:dyDescent="0.55000000000000004">
      <c r="A4" s="6" t="s">
        <v>236</v>
      </c>
      <c r="B4" s="6" t="s">
        <v>34</v>
      </c>
      <c r="C4" s="6" t="s">
        <v>35</v>
      </c>
      <c r="D4" s="6" t="s">
        <v>36</v>
      </c>
      <c r="E4" s="6" t="s">
        <v>37</v>
      </c>
      <c r="F4" s="6" t="s">
        <v>237</v>
      </c>
    </row>
    <row r="5" spans="1:13" ht="15" customHeight="1" x14ac:dyDescent="0.55000000000000004">
      <c r="A5" s="7" t="s">
        <v>73</v>
      </c>
      <c r="B5" s="10">
        <v>40</v>
      </c>
      <c r="C5" s="10">
        <v>30</v>
      </c>
      <c r="D5" s="10">
        <v>10</v>
      </c>
      <c r="E5" s="10">
        <v>50</v>
      </c>
      <c r="F5" s="9" t="s">
        <v>238</v>
      </c>
    </row>
    <row r="6" spans="1:13" ht="15" customHeight="1" x14ac:dyDescent="0.55000000000000004">
      <c r="A6" s="7" t="s">
        <v>239</v>
      </c>
      <c r="B6" s="10">
        <v>15</v>
      </c>
      <c r="C6" s="10">
        <v>80</v>
      </c>
      <c r="D6" s="10">
        <v>20</v>
      </c>
      <c r="E6" s="10">
        <v>60</v>
      </c>
      <c r="F6" s="9" t="s">
        <v>240</v>
      </c>
    </row>
    <row r="7" spans="1:13" ht="15" customHeight="1" x14ac:dyDescent="0.55000000000000004">
      <c r="A7" s="7" t="s">
        <v>241</v>
      </c>
      <c r="B7" s="10">
        <v>10</v>
      </c>
      <c r="C7" s="10">
        <v>30</v>
      </c>
      <c r="D7" s="10">
        <v>10</v>
      </c>
      <c r="E7" s="10">
        <v>300</v>
      </c>
      <c r="F7" s="9" t="s">
        <v>242</v>
      </c>
    </row>
    <row r="10" spans="1:13" ht="15" customHeight="1" x14ac:dyDescent="0.55000000000000004">
      <c r="A10" s="7" t="s">
        <v>243</v>
      </c>
    </row>
    <row r="11" spans="1:13" ht="15" customHeight="1" x14ac:dyDescent="0.55000000000000004">
      <c r="A11" s="3" t="s">
        <v>244</v>
      </c>
    </row>
    <row r="12" spans="1:13" ht="15" customHeight="1" x14ac:dyDescent="0.55000000000000004">
      <c r="A12" s="6" t="s">
        <v>245</v>
      </c>
      <c r="B12" s="6" t="s">
        <v>236</v>
      </c>
      <c r="C12" s="6" t="s">
        <v>246</v>
      </c>
      <c r="D12" s="6" t="s">
        <v>247</v>
      </c>
      <c r="E12" s="6" t="s">
        <v>248</v>
      </c>
      <c r="F12" s="6" t="s">
        <v>249</v>
      </c>
      <c r="G12" s="6" t="s">
        <v>5</v>
      </c>
      <c r="H12" s="6" t="s">
        <v>6</v>
      </c>
      <c r="I12" s="6" t="s">
        <v>7</v>
      </c>
      <c r="J12" s="6" t="s">
        <v>8</v>
      </c>
      <c r="K12" s="6" t="s">
        <v>9</v>
      </c>
      <c r="L12" s="6" t="s">
        <v>10</v>
      </c>
      <c r="M12" s="6" t="s">
        <v>250</v>
      </c>
    </row>
    <row r="13" spans="1:13" ht="15" customHeight="1" x14ac:dyDescent="0.55000000000000004">
      <c r="A13" s="28">
        <v>2000</v>
      </c>
      <c r="B13" s="9" t="s">
        <v>73</v>
      </c>
      <c r="C13" s="29">
        <v>0.4853250527556624</v>
      </c>
      <c r="D13" s="28">
        <v>2000</v>
      </c>
      <c r="E13" s="9">
        <v>0</v>
      </c>
      <c r="F13" s="9">
        <v>1</v>
      </c>
      <c r="G13" s="9">
        <v>72</v>
      </c>
      <c r="H13" s="9">
        <v>0</v>
      </c>
      <c r="I13" s="9">
        <v>48</v>
      </c>
      <c r="J13" s="9">
        <v>0</v>
      </c>
      <c r="K13" s="9">
        <v>0</v>
      </c>
      <c r="L13" s="9">
        <v>0</v>
      </c>
      <c r="M13" s="9">
        <v>2</v>
      </c>
    </row>
    <row r="14" spans="1:13" ht="15" customHeight="1" x14ac:dyDescent="0.55000000000000004">
      <c r="A14" s="28">
        <v>2000</v>
      </c>
      <c r="B14" s="9" t="s">
        <v>239</v>
      </c>
      <c r="C14" s="29">
        <v>0.29684408633790221</v>
      </c>
      <c r="D14" s="28">
        <v>1999.8</v>
      </c>
      <c r="E14" s="9">
        <v>0</v>
      </c>
      <c r="F14" s="9">
        <v>1</v>
      </c>
      <c r="G14" s="9">
        <v>86</v>
      </c>
      <c r="H14" s="9">
        <v>1</v>
      </c>
      <c r="I14" s="9">
        <v>44</v>
      </c>
      <c r="J14" s="9">
        <v>0</v>
      </c>
      <c r="K14" s="9">
        <v>0</v>
      </c>
      <c r="L14" s="9">
        <v>0</v>
      </c>
      <c r="M14" s="9">
        <v>2</v>
      </c>
    </row>
    <row r="15" spans="1:13" ht="15" customHeight="1" x14ac:dyDescent="0.55000000000000004">
      <c r="A15" s="28">
        <v>2000</v>
      </c>
      <c r="B15" s="9" t="s">
        <v>241</v>
      </c>
      <c r="C15" s="29">
        <v>0.25363700608451961</v>
      </c>
      <c r="D15" s="28">
        <v>1999.5</v>
      </c>
      <c r="E15" s="9">
        <v>0</v>
      </c>
      <c r="F15" s="9">
        <v>1</v>
      </c>
      <c r="G15" s="9">
        <v>95</v>
      </c>
      <c r="H15" s="9">
        <v>0</v>
      </c>
      <c r="I15" s="9">
        <v>42</v>
      </c>
      <c r="J15" s="9">
        <v>0</v>
      </c>
      <c r="K15" s="9">
        <v>0</v>
      </c>
      <c r="L15" s="9">
        <v>0</v>
      </c>
      <c r="M15" s="9">
        <v>2</v>
      </c>
    </row>
    <row r="16" spans="1:13" ht="15" customHeight="1" x14ac:dyDescent="0.55000000000000004">
      <c r="A16" s="28">
        <v>4000</v>
      </c>
      <c r="B16" s="9" t="s">
        <v>73</v>
      </c>
      <c r="C16" s="29">
        <v>0.73568826890615724</v>
      </c>
      <c r="D16" s="28">
        <v>4000</v>
      </c>
      <c r="E16" s="9">
        <v>1</v>
      </c>
      <c r="F16" s="9">
        <v>1</v>
      </c>
      <c r="G16" s="9">
        <v>42</v>
      </c>
      <c r="H16" s="9">
        <v>0</v>
      </c>
      <c r="I16" s="9">
        <v>43</v>
      </c>
      <c r="J16" s="9">
        <v>0</v>
      </c>
      <c r="K16" s="9">
        <v>61</v>
      </c>
      <c r="L16" s="9">
        <v>35</v>
      </c>
      <c r="M16" s="9">
        <v>2</v>
      </c>
    </row>
    <row r="17" spans="1:13" ht="15" customHeight="1" x14ac:dyDescent="0.55000000000000004">
      <c r="A17" s="28">
        <v>4000</v>
      </c>
      <c r="B17" s="9" t="s">
        <v>239</v>
      </c>
      <c r="C17" s="29">
        <v>0.63546000553217674</v>
      </c>
      <c r="D17" s="28">
        <v>3999.2</v>
      </c>
      <c r="E17" s="9">
        <v>1</v>
      </c>
      <c r="F17" s="9">
        <v>1</v>
      </c>
      <c r="G17" s="9">
        <v>75</v>
      </c>
      <c r="H17" s="9">
        <v>1</v>
      </c>
      <c r="I17" s="9">
        <v>40</v>
      </c>
      <c r="J17" s="9">
        <v>0</v>
      </c>
      <c r="K17" s="9">
        <v>96</v>
      </c>
      <c r="L17" s="9">
        <v>0</v>
      </c>
      <c r="M17" s="9">
        <v>2</v>
      </c>
    </row>
    <row r="18" spans="1:13" ht="15" customHeight="1" x14ac:dyDescent="0.55000000000000004">
      <c r="A18" s="28">
        <v>4000</v>
      </c>
      <c r="B18" s="9" t="s">
        <v>241</v>
      </c>
      <c r="C18" s="29">
        <v>0.50717482431389693</v>
      </c>
      <c r="D18" s="28">
        <v>3998.5</v>
      </c>
      <c r="E18" s="9">
        <v>1</v>
      </c>
      <c r="F18" s="9">
        <v>1</v>
      </c>
      <c r="G18" s="9">
        <v>96</v>
      </c>
      <c r="H18" s="9">
        <v>0</v>
      </c>
      <c r="I18" s="9">
        <v>34</v>
      </c>
      <c r="J18" s="9">
        <v>0</v>
      </c>
      <c r="K18" s="9">
        <v>91</v>
      </c>
      <c r="L18" s="9">
        <v>5</v>
      </c>
      <c r="M18" s="9">
        <v>2</v>
      </c>
    </row>
    <row r="19" spans="1:13" ht="15" customHeight="1" x14ac:dyDescent="0.55000000000000004">
      <c r="A19" s="28">
        <v>6000</v>
      </c>
      <c r="B19" s="9" t="s">
        <v>73</v>
      </c>
      <c r="C19" s="29">
        <v>0.83428592598411877</v>
      </c>
      <c r="D19" s="28">
        <v>6000</v>
      </c>
      <c r="E19" s="9">
        <v>1</v>
      </c>
      <c r="F19" s="9">
        <v>2</v>
      </c>
      <c r="G19" s="9">
        <v>191</v>
      </c>
      <c r="H19" s="9">
        <v>0</v>
      </c>
      <c r="I19" s="9">
        <v>48</v>
      </c>
      <c r="J19" s="9">
        <v>7</v>
      </c>
      <c r="K19" s="9">
        <v>4</v>
      </c>
      <c r="L19" s="9">
        <v>85</v>
      </c>
      <c r="M19" s="9">
        <v>4</v>
      </c>
    </row>
    <row r="20" spans="1:13" ht="15" customHeight="1" x14ac:dyDescent="0.55000000000000004">
      <c r="A20" s="28">
        <v>6000</v>
      </c>
      <c r="B20" s="9" t="s">
        <v>239</v>
      </c>
      <c r="C20" s="29">
        <v>0.73646413540311828</v>
      </c>
      <c r="D20" s="28">
        <v>5832.8</v>
      </c>
      <c r="E20" s="9">
        <v>1</v>
      </c>
      <c r="F20" s="9">
        <v>2</v>
      </c>
      <c r="G20" s="9">
        <v>192</v>
      </c>
      <c r="H20" s="9">
        <v>0</v>
      </c>
      <c r="I20" s="9">
        <v>48</v>
      </c>
      <c r="J20" s="9">
        <v>0</v>
      </c>
      <c r="K20" s="9">
        <v>0</v>
      </c>
      <c r="L20" s="9">
        <v>96</v>
      </c>
      <c r="M20" s="9">
        <v>4</v>
      </c>
    </row>
    <row r="21" spans="1:13" ht="15" customHeight="1" x14ac:dyDescent="0.55000000000000004">
      <c r="A21" s="28">
        <v>6000</v>
      </c>
      <c r="B21" s="9" t="s">
        <v>241</v>
      </c>
      <c r="C21" s="29">
        <v>0.58871066022494301</v>
      </c>
      <c r="D21" s="28">
        <v>5754.6</v>
      </c>
      <c r="E21" s="9">
        <v>1</v>
      </c>
      <c r="F21" s="9">
        <v>2</v>
      </c>
      <c r="G21" s="9">
        <v>192</v>
      </c>
      <c r="H21" s="9">
        <v>0</v>
      </c>
      <c r="I21" s="9">
        <v>48</v>
      </c>
      <c r="J21" s="9">
        <v>0</v>
      </c>
      <c r="K21" s="9">
        <v>34</v>
      </c>
      <c r="L21" s="9">
        <v>62</v>
      </c>
      <c r="M21" s="9">
        <v>4</v>
      </c>
    </row>
    <row r="22" spans="1:13" ht="15" customHeight="1" x14ac:dyDescent="0.55000000000000004">
      <c r="A22" s="28">
        <v>6000</v>
      </c>
      <c r="B22" s="9" t="s">
        <v>251</v>
      </c>
      <c r="C22" s="29">
        <v>0.83428592598411877</v>
      </c>
      <c r="D22" s="28">
        <v>6000</v>
      </c>
      <c r="E22" s="9">
        <v>1</v>
      </c>
      <c r="F22" s="9">
        <v>2</v>
      </c>
      <c r="G22" s="9">
        <v>191</v>
      </c>
      <c r="H22" s="9">
        <v>0</v>
      </c>
      <c r="I22" s="9">
        <v>48</v>
      </c>
      <c r="J22" s="9">
        <v>7</v>
      </c>
      <c r="K22" s="9">
        <v>4</v>
      </c>
      <c r="L22" s="9">
        <v>85</v>
      </c>
      <c r="M22" s="9">
        <v>4</v>
      </c>
    </row>
    <row r="24" spans="1:13" ht="15" customHeight="1" x14ac:dyDescent="0.55000000000000004">
      <c r="A24" s="3" t="s">
        <v>252</v>
      </c>
    </row>
    <row r="26" spans="1:13" ht="15" customHeight="1" x14ac:dyDescent="0.55000000000000004">
      <c r="A26" s="7" t="s">
        <v>253</v>
      </c>
    </row>
    <row r="27" spans="1:13" ht="15" customHeight="1" x14ac:dyDescent="0.55000000000000004">
      <c r="A27" s="6" t="s">
        <v>245</v>
      </c>
      <c r="B27" s="6" t="s">
        <v>236</v>
      </c>
      <c r="C27" s="6" t="s">
        <v>52</v>
      </c>
      <c r="D27" s="6" t="s">
        <v>246</v>
      </c>
      <c r="E27" s="6" t="s">
        <v>247</v>
      </c>
      <c r="F27" s="6" t="s">
        <v>254</v>
      </c>
      <c r="G27" s="6" t="s">
        <v>255</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3"/>
  <sheetViews>
    <sheetView zoomScaleNormal="100" workbookViewId="0"/>
  </sheetViews>
  <sheetFormatPr defaultColWidth="8.68359375" defaultRowHeight="14.4" x14ac:dyDescent="0.55000000000000004"/>
  <cols>
    <col min="1" max="1" width="18" customWidth="1"/>
    <col min="2" max="2" width="150" customWidth="1"/>
  </cols>
  <sheetData>
    <row r="1" spans="1:2" ht="17.25" customHeight="1" x14ac:dyDescent="0.6">
      <c r="A1" s="1" t="s">
        <v>256</v>
      </c>
    </row>
    <row r="3" spans="1:2" ht="15" customHeight="1" x14ac:dyDescent="0.55000000000000004">
      <c r="A3" s="7" t="s">
        <v>257</v>
      </c>
      <c r="B3" s="9" t="s">
        <v>258</v>
      </c>
    </row>
    <row r="4" spans="1:2" ht="15" customHeight="1" x14ac:dyDescent="0.55000000000000004">
      <c r="A4" s="7" t="s">
        <v>259</v>
      </c>
      <c r="B4" s="9" t="s">
        <v>260</v>
      </c>
    </row>
    <row r="5" spans="1:2" ht="15" customHeight="1" x14ac:dyDescent="0.55000000000000004">
      <c r="A5" s="7" t="s">
        <v>261</v>
      </c>
      <c r="B5" s="9" t="s">
        <v>262</v>
      </c>
    </row>
    <row r="6" spans="1:2" ht="15" customHeight="1" x14ac:dyDescent="0.55000000000000004">
      <c r="A6" s="7" t="s">
        <v>263</v>
      </c>
      <c r="B6" s="9" t="s">
        <v>264</v>
      </c>
    </row>
    <row r="7" spans="1:2" ht="15" customHeight="1" x14ac:dyDescent="0.55000000000000004">
      <c r="A7" s="7" t="s">
        <v>265</v>
      </c>
      <c r="B7" s="9" t="s">
        <v>266</v>
      </c>
    </row>
    <row r="8" spans="1:2" ht="15" customHeight="1" x14ac:dyDescent="0.55000000000000004">
      <c r="A8" s="7" t="s">
        <v>267</v>
      </c>
      <c r="B8" s="9" t="s">
        <v>268</v>
      </c>
    </row>
    <row r="9" spans="1:2" ht="15" customHeight="1" x14ac:dyDescent="0.55000000000000004">
      <c r="A9" s="7" t="s">
        <v>269</v>
      </c>
      <c r="B9" s="9" t="s">
        <v>270</v>
      </c>
    </row>
    <row r="10" spans="1:2" ht="15" customHeight="1" x14ac:dyDescent="0.55000000000000004">
      <c r="A10" s="7" t="s">
        <v>271</v>
      </c>
      <c r="B10" s="9" t="s">
        <v>272</v>
      </c>
    </row>
    <row r="11" spans="1:2" ht="15" customHeight="1" x14ac:dyDescent="0.55000000000000004">
      <c r="A11" s="7" t="s">
        <v>273</v>
      </c>
      <c r="B11" s="9" t="s">
        <v>274</v>
      </c>
    </row>
    <row r="12" spans="1:2" ht="15" customHeight="1" x14ac:dyDescent="0.55000000000000004">
      <c r="A12" s="7" t="s">
        <v>275</v>
      </c>
      <c r="B12" s="9" t="s">
        <v>276</v>
      </c>
    </row>
    <row r="13" spans="1:2" ht="15" customHeight="1" x14ac:dyDescent="0.55000000000000004">
      <c r="A13" s="7" t="s">
        <v>277</v>
      </c>
      <c r="B13" s="9" t="s">
        <v>278</v>
      </c>
    </row>
    <row r="14" spans="1:2" ht="15" customHeight="1" x14ac:dyDescent="0.55000000000000004">
      <c r="A14" s="7" t="s">
        <v>279</v>
      </c>
      <c r="B14" s="9" t="s">
        <v>280</v>
      </c>
    </row>
    <row r="15" spans="1:2" ht="15" customHeight="1" x14ac:dyDescent="0.55000000000000004">
      <c r="A15" s="7" t="s">
        <v>281</v>
      </c>
      <c r="B15" s="9" t="s">
        <v>282</v>
      </c>
    </row>
    <row r="16" spans="1:2" ht="15" customHeight="1" x14ac:dyDescent="0.55000000000000004">
      <c r="A16" s="7"/>
      <c r="B16" s="9"/>
    </row>
    <row r="17" spans="1:2" ht="15" customHeight="1" x14ac:dyDescent="0.55000000000000004">
      <c r="A17" s="7" t="s">
        <v>283</v>
      </c>
      <c r="B17" s="9" t="s">
        <v>284</v>
      </c>
    </row>
    <row r="18" spans="1:2" ht="15" customHeight="1" x14ac:dyDescent="0.55000000000000004">
      <c r="A18" s="7" t="s">
        <v>285</v>
      </c>
      <c r="B18" s="9" t="s">
        <v>286</v>
      </c>
    </row>
    <row r="19" spans="1:2" ht="15" customHeight="1" x14ac:dyDescent="0.55000000000000004">
      <c r="A19" s="7" t="s">
        <v>287</v>
      </c>
      <c r="B19" s="9" t="s">
        <v>288</v>
      </c>
    </row>
    <row r="20" spans="1:2" ht="15" customHeight="1" x14ac:dyDescent="0.55000000000000004">
      <c r="A20" s="7" t="s">
        <v>289</v>
      </c>
      <c r="B20" s="9" t="s">
        <v>290</v>
      </c>
    </row>
    <row r="21" spans="1:2" x14ac:dyDescent="0.55000000000000004">
      <c r="A21" s="7" t="s">
        <v>291</v>
      </c>
      <c r="B21" s="9" t="s">
        <v>292</v>
      </c>
    </row>
    <row r="22" spans="1:2" x14ac:dyDescent="0.55000000000000004">
      <c r="A22" s="7" t="s">
        <v>293</v>
      </c>
      <c r="B22" s="9" t="s">
        <v>294</v>
      </c>
    </row>
    <row r="23" spans="1:2" x14ac:dyDescent="0.55000000000000004">
      <c r="A23" s="7" t="s">
        <v>295</v>
      </c>
      <c r="B23" s="9" t="s">
        <v>296</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120</vt:i4>
      </vt:variant>
    </vt:vector>
  </HeadingPairs>
  <TitlesOfParts>
    <vt:vector size="123" baseType="lpstr">
      <vt:lpstr>Model</vt:lpstr>
      <vt:lpstr>Scenarios</vt:lpstr>
      <vt:lpstr>Solver Model</vt:lpstr>
      <vt:lpstr>ACTIVE_RAID</vt:lpstr>
      <vt:lpstr>AEGIS_CELL_SLACK</vt:lpstr>
      <vt:lpstr>AEGIS_CELLS_USED</vt:lpstr>
      <vt:lpstr>AEGIS_SITES</vt:lpstr>
      <vt:lpstr>ALL_VALID</vt:lpstr>
      <vt:lpstr>BUDGET</vt:lpstr>
      <vt:lpstr>BUILD_AEGIS</vt:lpstr>
      <vt:lpstr>BUILD_THAAD</vt:lpstr>
      <vt:lpstr>CAP</vt:lpstr>
      <vt:lpstr>CAP_SLACK</vt:lpstr>
      <vt:lpstr>COVERED_FRACTION</vt:lpstr>
      <vt:lpstr>D</vt:lpstr>
      <vt:lpstr>D_COVERED</vt:lpstr>
      <vt:lpstr>D_UNCOVERED</vt:lpstr>
      <vt:lpstr>EFF_COVERED</vt:lpstr>
      <vt:lpstr>EFF_UNCOVERED</vt:lpstr>
      <vt:lpstr>FLOOR</vt:lpstr>
      <vt:lpstr>INTERCEPTOR_SPEND</vt:lpstr>
      <vt:lpstr>MIN_REQUIRED</vt:lpstr>
      <vt:lpstr>MK41_CELLS</vt:lpstr>
      <vt:lpstr>MSE_CAP</vt:lpstr>
      <vt:lpstr>MSE_PK_ABT</vt:lpstr>
      <vt:lpstr>MSE_PK_BM</vt:lpstr>
      <vt:lpstr>MSE_PK_CM</vt:lpstr>
      <vt:lpstr>MSE_PK_UAS</vt:lpstr>
      <vt:lpstr>MSE_PRICE</vt:lpstr>
      <vt:lpstr>MSE_Q</vt:lpstr>
      <vt:lpstr>MSE_SYSTEM</vt:lpstr>
      <vt:lpstr>PAC3_CAP</vt:lpstr>
      <vt:lpstr>PAC3_PK_ABT</vt:lpstr>
      <vt:lpstr>PAC3_PK_BM</vt:lpstr>
      <vt:lpstr>PAC3_PK_CM</vt:lpstr>
      <vt:lpstr>PAC3_PK_UAS</vt:lpstr>
      <vt:lpstr>PAC3_PRICE</vt:lpstr>
      <vt:lpstr>PAC3_Q</vt:lpstr>
      <vt:lpstr>PAC3_SYSTEM</vt:lpstr>
      <vt:lpstr>PATRIOT_BATTERIES</vt:lpstr>
      <vt:lpstr>PATRIOT_LAUNCHERS</vt:lpstr>
      <vt:lpstr>PATRIOT_LAUNCHERS_USED</vt:lpstr>
      <vt:lpstr>PATRIOT_MAX</vt:lpstr>
      <vt:lpstr>PATRIOT_SITES_COVERED</vt:lpstr>
      <vt:lpstr>PATRIOT_SLACK</vt:lpstr>
      <vt:lpstr>PK_ABT</vt:lpstr>
      <vt:lpstr>PK_BM</vt:lpstr>
      <vt:lpstr>PK_CM</vt:lpstr>
      <vt:lpstr>PK_UAS</vt:lpstr>
      <vt:lpstr>PRICE</vt:lpstr>
      <vt:lpstr>PROTECTION</vt:lpstr>
      <vt:lpstr>Q_TOTAL</vt:lpstr>
      <vt:lpstr>QC</vt:lpstr>
      <vt:lpstr>QC_SLACK</vt:lpstr>
      <vt:lpstr>QU</vt:lpstr>
      <vt:lpstr>R_ABT</vt:lpstr>
      <vt:lpstr>R_BM</vt:lpstr>
      <vt:lpstr>R_CM</vt:lpstr>
      <vt:lpstr>R_COVERED</vt:lpstr>
      <vt:lpstr>R_UAS</vt:lpstr>
      <vt:lpstr>R_UNCOVERED</vt:lpstr>
      <vt:lpstr>RAID_SIZE</vt:lpstr>
      <vt:lpstr>SITES</vt:lpstr>
      <vt:lpstr>SITES_PER_PATRIOT</vt:lpstr>
      <vt:lpstr>SM2_CAP</vt:lpstr>
      <vt:lpstr>SM2_PK_ABT</vt:lpstr>
      <vt:lpstr>SM2_PK_BM</vt:lpstr>
      <vt:lpstr>SM2_PK_CM</vt:lpstr>
      <vt:lpstr>SM2_PK_UAS</vt:lpstr>
      <vt:lpstr>SM2_PRICE</vt:lpstr>
      <vt:lpstr>SM2_Q</vt:lpstr>
      <vt:lpstr>SM2_SYSTEM</vt:lpstr>
      <vt:lpstr>SM3_CAP</vt:lpstr>
      <vt:lpstr>SM3_PK_ABT</vt:lpstr>
      <vt:lpstr>SM3_PK_BM</vt:lpstr>
      <vt:lpstr>SM3_PK_CM</vt:lpstr>
      <vt:lpstr>SM3_PK_UAS</vt:lpstr>
      <vt:lpstr>SM3_PRICE</vt:lpstr>
      <vt:lpstr>SM3_Q</vt:lpstr>
      <vt:lpstr>SM3_SYSTEM</vt:lpstr>
      <vt:lpstr>SM6_CAP</vt:lpstr>
      <vt:lpstr>SM6_PK_ABT</vt:lpstr>
      <vt:lpstr>SM6_PK_BM</vt:lpstr>
      <vt:lpstr>SM6_PK_CM</vt:lpstr>
      <vt:lpstr>SM6_PK_UAS</vt:lpstr>
      <vt:lpstr>SM6_PRICE</vt:lpstr>
      <vt:lpstr>SM6_Q</vt:lpstr>
      <vt:lpstr>SM6_SYSTEM</vt:lpstr>
      <vt:lpstr>Model!solver_adj</vt:lpstr>
      <vt:lpstr>Model!solver_lhs11</vt:lpstr>
      <vt:lpstr>Model!solver_lhs12</vt:lpstr>
      <vt:lpstr>Model!solver_lhs13</vt:lpstr>
      <vt:lpstr>Model!solver_lhs14</vt:lpstr>
      <vt:lpstr>Model!solver_lhs15</vt:lpstr>
      <vt:lpstr>Model!solver_lhs16</vt:lpstr>
      <vt:lpstr>Model!solver_lhs17</vt:lpstr>
      <vt:lpstr>Model!solver_lhs3</vt:lpstr>
      <vt:lpstr>Model!solver_rhs15</vt:lpstr>
      <vt:lpstr>SPEND_FLOOR</vt:lpstr>
      <vt:lpstr>SYS_COST_AEGIS</vt:lpstr>
      <vt:lpstr>SYS_COST_PATRIOT</vt:lpstr>
      <vt:lpstr>SYS_COST_THAAD</vt:lpstr>
      <vt:lpstr>SYSTEM</vt:lpstr>
      <vt:lpstr>SYSTEM_SPEND</vt:lpstr>
      <vt:lpstr>THAAD_CAP</vt:lpstr>
      <vt:lpstr>THAAD_PK_ABT</vt:lpstr>
      <vt:lpstr>THAAD_PK_BM</vt:lpstr>
      <vt:lpstr>THAAD_PK_CM</vt:lpstr>
      <vt:lpstr>THAAD_PK_UAS</vt:lpstr>
      <vt:lpstr>THAAD_PRICE</vt:lpstr>
      <vt:lpstr>THAAD_Q</vt:lpstr>
      <vt:lpstr>THAAD_SITES</vt:lpstr>
      <vt:lpstr>THAAD_SLACK</vt:lpstr>
      <vt:lpstr>THAAD_SYSTEM</vt:lpstr>
      <vt:lpstr>TOTAL_SPEND</vt:lpstr>
      <vt:lpstr>UNCOVERED_SITES</vt:lpstr>
      <vt:lpstr>UNSPENT</vt:lpstr>
      <vt:lpstr>USE_MIN</vt:lpstr>
      <vt:lpstr>W</vt:lpstr>
      <vt:lpstr>W_ABT</vt:lpstr>
      <vt:lpstr>W_BM</vt:lpstr>
      <vt:lpstr>W_CM</vt:lpstr>
      <vt:lpstr>W_UAS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Richie Gaas</cp:lastModifiedBy>
  <cp:revision>0</cp:revision>
  <dcterms:created xsi:type="dcterms:W3CDTF">2026-10-02T06:21:10Z</dcterms:created>
  <dcterms:modified xsi:type="dcterms:W3CDTF">2026-10-09T01:54:49Z</dcterms:modified>
  <dc:language>en-US</dc:language>
</cp:coreProperties>
</file>