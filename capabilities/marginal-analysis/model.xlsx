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e36d409fbc3f23f/Desktop/DLEMBA/(BUS 620) Micro- and Macro-Economic Foundations for Managers/capabilities/marginal-analysis/"/>
    </mc:Choice>
  </mc:AlternateContent>
  <xr:revisionPtr revIDLastSave="0" documentId="13_ncr:1_{8608342F-831A-4A8E-8E31-C1076339327A}" xr6:coauthVersionLast="47" xr6:coauthVersionMax="47" xr10:uidLastSave="{00000000-0000-0000-0000-000000000000}"/>
  <bookViews>
    <workbookView xWindow="366" yWindow="366" windowWidth="17280" windowHeight="8904" xr2:uid="{00000000-000D-0000-FFFF-FFFF00000000}"/>
  </bookViews>
  <sheets>
    <sheet name="Model" sheetId="1" r:id="rId1"/>
    <sheet name="Standalone Diagnostics" sheetId="2" r:id="rId2"/>
    <sheet name="Solver Model" sheetId="3" r:id="rId3"/>
  </sheets>
  <definedNames>
    <definedName name="ALL_VALID">Model!$B$60</definedName>
    <definedName name="BEDS_CAR">Model!$C$27</definedName>
    <definedName name="BEDS_MES">Model!$D$27</definedName>
    <definedName name="BEDS_PLANTED">Model!$B$28</definedName>
    <definedName name="BEDS_TOM">Model!$B$27</definedName>
    <definedName name="BEDS_TOTAL">Model!$B$23</definedName>
    <definedName name="CAR_DIM_PCT">Model!$C$9</definedName>
    <definedName name="CAR_FERT_COST">Model!$C$8</definedName>
    <definedName name="CAR_HRS">Model!$C$7</definedName>
    <definedName name="CAR_MAXBED">Model!$C$10</definedName>
    <definedName name="CAR_PRICE">Model!$C$6</definedName>
    <definedName name="EXCESS_HRS">Model!$B$37</definedName>
    <definedName name="FARMER_COST">Model!$B$38</definedName>
    <definedName name="FARMER_HRS_CAP">Model!$B$16</definedName>
    <definedName name="FARMER_HRS_USED">Model!$B$36</definedName>
    <definedName name="FARMER_RATE">Model!$B$18</definedName>
    <definedName name="FERT_COST">Model!$E$46</definedName>
    <definedName name="FIXED_COST">Model!$B$15</definedName>
    <definedName name="LABOR_COST">Model!$B$40</definedName>
    <definedName name="LABOR_HRS_TOTAL">Model!$E$32</definedName>
    <definedName name="MAX_FARMER_COST">Model!$B$17</definedName>
    <definedName name="MAX_TEMP_WORKER_COST">Model!$B$20</definedName>
    <definedName name="MES_DIM_PCT">Model!$D$9</definedName>
    <definedName name="MES_FERT_COST">Model!$D$8</definedName>
    <definedName name="MES_HRS">Model!$D$7</definedName>
    <definedName name="MES_MAXBED">Model!$D$10</definedName>
    <definedName name="MES_PRICE">Model!$D$6</definedName>
    <definedName name="N_WORKERS_NEEDED">Model!$B$41</definedName>
    <definedName name="PROFIT">Model!$B$48</definedName>
    <definedName name="solver_adj" localSheetId="0" hidden="1">Model!$B$27:$D$27</definedName>
    <definedName name="solver_eng" localSheetId="0" hidden="1">3</definedName>
    <definedName name="solver_lhs1" localSheetId="0" hidden="1">Model!$B$27:$D$27</definedName>
    <definedName name="solver_lhs2" localSheetId="0" hidden="1">Model!$B$28</definedName>
    <definedName name="solver_lhs3" localSheetId="0" hidden="1">Model!$E$32</definedName>
    <definedName name="solver_lhs4" localSheetId="0" hidden="1">Model!$B$27:$D$27</definedName>
    <definedName name="solver_lhs5" localSheetId="0" hidden="1">Model!$B$27:$D$27</definedName>
    <definedName name="solver_neg" localSheetId="0" hidden="1">1</definedName>
    <definedName name="solver_num" localSheetId="0" hidden="1">5</definedName>
    <definedName name="solver_opt" localSheetId="0" hidden="1">Model!$B$48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4</definedName>
    <definedName name="solver_rel5" localSheetId="0" hidden="1">3</definedName>
    <definedName name="solver_rhs1" localSheetId="0" hidden="1">Model!$B$10:$D$10</definedName>
    <definedName name="solver_rhs2" localSheetId="0" hidden="1">Model!$B$23</definedName>
    <definedName name="solver_rhs3" localSheetId="0" hidden="1">6480</definedName>
    <definedName name="solver_rhs4" localSheetId="0" hidden="1">"integer"</definedName>
    <definedName name="solver_rhs5" localSheetId="0" hidden="1">0</definedName>
    <definedName name="solver_typ" localSheetId="0" hidden="1">1</definedName>
    <definedName name="solver_val" localSheetId="0" hidden="1">0</definedName>
    <definedName name="solver_ver" localSheetId="0" hidden="1">3</definedName>
    <definedName name="TEMP_COST">Model!$B$39</definedName>
    <definedName name="TEMP_RATE">Model!$B$21</definedName>
    <definedName name="TOM_DIM_PCT">Model!$B$9</definedName>
    <definedName name="TOM_FERT_COST">Model!$B$8</definedName>
    <definedName name="TOM_HRS">Model!$B$7</definedName>
    <definedName name="TOM_MAXBED">Model!$B$10</definedName>
    <definedName name="TOM_PRICE">Model!$B$6</definedName>
    <definedName name="TOTAL_COST">Model!$B$47</definedName>
    <definedName name="TOTAL_REVENUE">Model!$E$45</definedName>
    <definedName name="WEEKS">Model!$B$14</definedName>
    <definedName name="WORKER_HRS_CAP">Model!$B$19</definedName>
    <definedName name="WORKER_MAX">Model!$B$22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6" i="2" l="1"/>
  <c r="B85" i="2"/>
  <c r="B84" i="2"/>
  <c r="B83" i="2"/>
  <c r="B82" i="2"/>
  <c r="B81" i="2"/>
  <c r="E81" i="2" s="1"/>
  <c r="E80" i="2"/>
  <c r="B80" i="2"/>
  <c r="B79" i="2"/>
  <c r="B78" i="2"/>
  <c r="B77" i="2"/>
  <c r="B76" i="2"/>
  <c r="B75" i="2"/>
  <c r="E75" i="2" s="1"/>
  <c r="B74" i="2"/>
  <c r="E74" i="2" s="1"/>
  <c r="B73" i="2"/>
  <c r="B72" i="2"/>
  <c r="E72" i="2" s="1"/>
  <c r="B71" i="2"/>
  <c r="B70" i="2"/>
  <c r="B69" i="2"/>
  <c r="C69" i="2" s="1"/>
  <c r="B68" i="2"/>
  <c r="E68" i="2" s="1"/>
  <c r="B67" i="2"/>
  <c r="B66" i="2"/>
  <c r="B65" i="2"/>
  <c r="B64" i="2"/>
  <c r="E64" i="2" s="1"/>
  <c r="B63" i="2"/>
  <c r="B62" i="2"/>
  <c r="C62" i="2" s="1"/>
  <c r="E61" i="2"/>
  <c r="B61" i="2"/>
  <c r="B60" i="2"/>
  <c r="B59" i="2"/>
  <c r="B58" i="2"/>
  <c r="C58" i="2" s="1"/>
  <c r="B57" i="2"/>
  <c r="E56" i="2"/>
  <c r="C56" i="2"/>
  <c r="B56" i="2"/>
  <c r="B51" i="2"/>
  <c r="B50" i="2"/>
  <c r="B49" i="2"/>
  <c r="B48" i="2"/>
  <c r="B47" i="2"/>
  <c r="C46" i="2"/>
  <c r="B46" i="2"/>
  <c r="B45" i="2"/>
  <c r="B44" i="2"/>
  <c r="B43" i="2"/>
  <c r="B42" i="2"/>
  <c r="C42" i="2" s="1"/>
  <c r="E41" i="2"/>
  <c r="B41" i="2"/>
  <c r="B40" i="2"/>
  <c r="B39" i="2"/>
  <c r="B38" i="2"/>
  <c r="C38" i="2" s="1"/>
  <c r="B37" i="2"/>
  <c r="C37" i="2" s="1"/>
  <c r="E36" i="2"/>
  <c r="B36" i="2"/>
  <c r="B35" i="2"/>
  <c r="B34" i="2"/>
  <c r="B33" i="2"/>
  <c r="B32" i="2"/>
  <c r="B31" i="2"/>
  <c r="C31" i="2" s="1"/>
  <c r="B26" i="2"/>
  <c r="B25" i="2"/>
  <c r="B24" i="2"/>
  <c r="B23" i="2"/>
  <c r="C23" i="2" s="1"/>
  <c r="B22" i="2"/>
  <c r="B21" i="2"/>
  <c r="B20" i="2"/>
  <c r="B19" i="2"/>
  <c r="B18" i="2"/>
  <c r="B17" i="2"/>
  <c r="C17" i="2" s="1"/>
  <c r="B16" i="2"/>
  <c r="B15" i="2"/>
  <c r="B14" i="2"/>
  <c r="B13" i="2"/>
  <c r="B12" i="2"/>
  <c r="E12" i="2" s="1"/>
  <c r="B11" i="2"/>
  <c r="E11" i="2" s="1"/>
  <c r="B10" i="2"/>
  <c r="E9" i="2"/>
  <c r="B9" i="2"/>
  <c r="B8" i="2"/>
  <c r="B7" i="2"/>
  <c r="E7" i="2" s="1"/>
  <c r="B6" i="2"/>
  <c r="E6" i="2" s="1"/>
  <c r="B66" i="1"/>
  <c r="B65" i="1"/>
  <c r="B64" i="1"/>
  <c r="B58" i="1"/>
  <c r="B55" i="1"/>
  <c r="B54" i="1"/>
  <c r="B53" i="1"/>
  <c r="D46" i="1"/>
  <c r="C46" i="1"/>
  <c r="B46" i="1"/>
  <c r="D45" i="1"/>
  <c r="C45" i="1"/>
  <c r="B45" i="1"/>
  <c r="D32" i="1"/>
  <c r="C32" i="1"/>
  <c r="B32" i="1"/>
  <c r="B28" i="1"/>
  <c r="B52" i="1" s="1"/>
  <c r="B21" i="1"/>
  <c r="E25" i="2" s="1"/>
  <c r="B18" i="1"/>
  <c r="C82" i="2" s="1"/>
  <c r="C13" i="2" l="1"/>
  <c r="E18" i="2"/>
  <c r="C24" i="2"/>
  <c r="E32" i="2"/>
  <c r="F32" i="2" s="1"/>
  <c r="E37" i="2"/>
  <c r="F37" i="2" s="1"/>
  <c r="E43" i="2"/>
  <c r="F44" i="2" s="1"/>
  <c r="E48" i="2"/>
  <c r="E57" i="2"/>
  <c r="F57" i="2" s="1"/>
  <c r="C63" i="2"/>
  <c r="E69" i="2"/>
  <c r="E76" i="2"/>
  <c r="E82" i="2"/>
  <c r="E17" i="2"/>
  <c r="F17" i="2" s="1"/>
  <c r="E31" i="2"/>
  <c r="F81" i="2"/>
  <c r="C8" i="2"/>
  <c r="E8" i="2"/>
  <c r="F9" i="2" s="1"/>
  <c r="E13" i="2"/>
  <c r="C18" i="2"/>
  <c r="E24" i="2"/>
  <c r="F25" i="2" s="1"/>
  <c r="C33" i="2"/>
  <c r="C44" i="2"/>
  <c r="C49" i="2"/>
  <c r="C70" i="2"/>
  <c r="C77" i="2"/>
  <c r="E83" i="2"/>
  <c r="F83" i="2" s="1"/>
  <c r="C9" i="2"/>
  <c r="E19" i="2"/>
  <c r="F19" i="2" s="1"/>
  <c r="C25" i="2"/>
  <c r="E33" i="2"/>
  <c r="E44" i="2"/>
  <c r="E49" i="2"/>
  <c r="F49" i="2" s="1"/>
  <c r="E71" i="2"/>
  <c r="F72" i="2" s="1"/>
  <c r="E77" i="2"/>
  <c r="E84" i="2"/>
  <c r="F84" i="2" s="1"/>
  <c r="D17" i="2"/>
  <c r="C15" i="2"/>
  <c r="E20" i="2"/>
  <c r="C34" i="2"/>
  <c r="C45" i="2"/>
  <c r="D45" i="2" s="1"/>
  <c r="C50" i="2"/>
  <c r="D50" i="2" s="1"/>
  <c r="E59" i="2"/>
  <c r="E65" i="2"/>
  <c r="F65" i="2" s="1"/>
  <c r="E78" i="2"/>
  <c r="C85" i="2"/>
  <c r="D62" i="2"/>
  <c r="E10" i="2"/>
  <c r="F10" i="2" s="1"/>
  <c r="C16" i="2"/>
  <c r="C21" i="2"/>
  <c r="E26" i="2"/>
  <c r="F26" i="2" s="1"/>
  <c r="C35" i="2"/>
  <c r="E40" i="2"/>
  <c r="F41" i="2" s="1"/>
  <c r="E45" i="2"/>
  <c r="F45" i="2" s="1"/>
  <c r="C51" i="2"/>
  <c r="E60" i="2"/>
  <c r="F61" i="2" s="1"/>
  <c r="C79" i="2"/>
  <c r="D79" i="2" s="1"/>
  <c r="E85" i="2"/>
  <c r="F85" i="2" s="1"/>
  <c r="D42" i="2"/>
  <c r="E47" i="2"/>
  <c r="F47" i="2" s="1"/>
  <c r="C10" i="2"/>
  <c r="E16" i="2"/>
  <c r="F16" i="2" s="1"/>
  <c r="E21" i="2"/>
  <c r="F21" i="2" s="1"/>
  <c r="C26" i="2"/>
  <c r="D26" i="2" s="1"/>
  <c r="C36" i="2"/>
  <c r="D37" i="2" s="1"/>
  <c r="C41" i="2"/>
  <c r="C61" i="2"/>
  <c r="E67" i="2"/>
  <c r="F68" i="2" s="1"/>
  <c r="E73" i="2"/>
  <c r="F73" i="2" s="1"/>
  <c r="E86" i="2"/>
  <c r="E46" i="1"/>
  <c r="E32" i="1"/>
  <c r="B36" i="1" s="1"/>
  <c r="B38" i="1" s="1"/>
  <c r="E45" i="1"/>
  <c r="B70" i="1" s="1"/>
  <c r="D63" i="2"/>
  <c r="F69" i="2"/>
  <c r="F76" i="2"/>
  <c r="F82" i="2"/>
  <c r="F8" i="2"/>
  <c r="F13" i="2"/>
  <c r="D18" i="2"/>
  <c r="D70" i="2"/>
  <c r="F48" i="2"/>
  <c r="D9" i="2"/>
  <c r="D25" i="2"/>
  <c r="F33" i="2"/>
  <c r="D38" i="2"/>
  <c r="D58" i="2"/>
  <c r="F64" i="2"/>
  <c r="F77" i="2"/>
  <c r="F12" i="2"/>
  <c r="F75" i="2"/>
  <c r="D85" i="2"/>
  <c r="D16" i="2"/>
  <c r="D35" i="2"/>
  <c r="F60" i="2"/>
  <c r="F7" i="2"/>
  <c r="D8" i="2"/>
  <c r="D24" i="2"/>
  <c r="D10" i="2"/>
  <c r="D36" i="2"/>
  <c r="D61" i="2"/>
  <c r="C12" i="2"/>
  <c r="C20" i="2"/>
  <c r="C32" i="2"/>
  <c r="D32" i="2" s="1"/>
  <c r="E38" i="2"/>
  <c r="F38" i="2" s="1"/>
  <c r="C40" i="2"/>
  <c r="D41" i="2" s="1"/>
  <c r="E46" i="2"/>
  <c r="C48" i="2"/>
  <c r="D49" i="2" s="1"/>
  <c r="E58" i="2"/>
  <c r="F58" i="2" s="1"/>
  <c r="C60" i="2"/>
  <c r="E66" i="2"/>
  <c r="F66" i="2" s="1"/>
  <c r="C68" i="2"/>
  <c r="D68" i="2" s="1"/>
  <c r="C76" i="2"/>
  <c r="C84" i="2"/>
  <c r="C7" i="2"/>
  <c r="C43" i="2"/>
  <c r="D43" i="2" s="1"/>
  <c r="C71" i="2"/>
  <c r="D71" i="2" s="1"/>
  <c r="E15" i="2"/>
  <c r="E23" i="2"/>
  <c r="F23" i="2" s="1"/>
  <c r="E35" i="2"/>
  <c r="F35" i="2" s="1"/>
  <c r="E51" i="2"/>
  <c r="C57" i="2"/>
  <c r="D57" i="2" s="1"/>
  <c r="E63" i="2"/>
  <c r="C65" i="2"/>
  <c r="D65" i="2" s="1"/>
  <c r="C73" i="2"/>
  <c r="E79" i="2"/>
  <c r="F79" i="2" s="1"/>
  <c r="C81" i="2"/>
  <c r="D81" i="2" s="1"/>
  <c r="C14" i="2"/>
  <c r="D14" i="2" s="1"/>
  <c r="C22" i="2"/>
  <c r="C78" i="2"/>
  <c r="D78" i="2" s="1"/>
  <c r="C86" i="2"/>
  <c r="D86" i="2" s="1"/>
  <c r="C19" i="2"/>
  <c r="D19" i="2" s="1"/>
  <c r="C59" i="2"/>
  <c r="D59" i="2" s="1"/>
  <c r="C67" i="2"/>
  <c r="C75" i="2"/>
  <c r="C83" i="2"/>
  <c r="D83" i="2" s="1"/>
  <c r="E62" i="2"/>
  <c r="F62" i="2" s="1"/>
  <c r="C64" i="2"/>
  <c r="D64" i="2" s="1"/>
  <c r="E70" i="2"/>
  <c r="F70" i="2" s="1"/>
  <c r="C72" i="2"/>
  <c r="C80" i="2"/>
  <c r="D80" i="2" s="1"/>
  <c r="C11" i="2"/>
  <c r="D11" i="2" s="1"/>
  <c r="C39" i="2"/>
  <c r="D39" i="2" s="1"/>
  <c r="C47" i="2"/>
  <c r="D47" i="2" s="1"/>
  <c r="C6" i="2"/>
  <c r="E14" i="2"/>
  <c r="F14" i="2" s="1"/>
  <c r="E22" i="2"/>
  <c r="E34" i="2"/>
  <c r="F34" i="2" s="1"/>
  <c r="E42" i="2"/>
  <c r="F42" i="2" s="1"/>
  <c r="E50" i="2"/>
  <c r="F50" i="2" s="1"/>
  <c r="E39" i="2"/>
  <c r="C66" i="2"/>
  <c r="D66" i="2" s="1"/>
  <c r="C74" i="2"/>
  <c r="D15" i="2" l="1"/>
  <c r="D60" i="2"/>
  <c r="F71" i="2"/>
  <c r="F86" i="2"/>
  <c r="D34" i="2"/>
  <c r="D51" i="2"/>
  <c r="F20" i="2"/>
  <c r="D72" i="2"/>
  <c r="F18" i="2"/>
  <c r="F22" i="2"/>
  <c r="F46" i="2"/>
  <c r="F59" i="2"/>
  <c r="F43" i="2"/>
  <c r="F78" i="2"/>
  <c r="D46" i="2"/>
  <c r="D74" i="2"/>
  <c r="D22" i="2"/>
  <c r="F51" i="2"/>
  <c r="D76" i="2"/>
  <c r="F11" i="2"/>
  <c r="F74" i="2"/>
  <c r="B56" i="1"/>
  <c r="B37" i="1"/>
  <c r="B39" i="1" s="1"/>
  <c r="B69" i="1" s="1"/>
  <c r="F39" i="2"/>
  <c r="D75" i="2"/>
  <c r="D20" i="2"/>
  <c r="D77" i="2"/>
  <c r="D67" i="2"/>
  <c r="F15" i="2"/>
  <c r="D12" i="2"/>
  <c r="D69" i="2"/>
  <c r="D13" i="2"/>
  <c r="D73" i="2"/>
  <c r="F67" i="2"/>
  <c r="D23" i="2"/>
  <c r="F40" i="2"/>
  <c r="D48" i="2"/>
  <c r="F27" i="2"/>
  <c r="D82" i="2"/>
  <c r="D44" i="2"/>
  <c r="F63" i="2"/>
  <c r="D7" i="2"/>
  <c r="F36" i="2"/>
  <c r="D21" i="2"/>
  <c r="F80" i="2"/>
  <c r="D33" i="2"/>
  <c r="D84" i="2"/>
  <c r="D40" i="2"/>
  <c r="D52" i="2" s="1"/>
  <c r="B68" i="1"/>
  <c r="F24" i="2"/>
  <c r="D87" i="2" l="1"/>
  <c r="F52" i="2"/>
  <c r="F87" i="2"/>
  <c r="B41" i="1"/>
  <c r="B57" i="1" s="1"/>
  <c r="B40" i="1"/>
  <c r="B47" i="1" s="1"/>
  <c r="B48" i="1" s="1"/>
  <c r="B71" i="1" s="1"/>
  <c r="D27" i="2"/>
  <c r="B67" i="1" l="1"/>
  <c r="B59" i="1"/>
  <c r="B60" i="1" s="1"/>
</calcChain>
</file>

<file path=xl/sharedStrings.xml><?xml version="1.0" encoding="utf-8"?>
<sst xmlns="http://schemas.openxmlformats.org/spreadsheetml/2006/main" count="239" uniqueCount="171">
  <si>
    <t>Marginal analysis - perfect competition (rebuild 2026-09-04: pooled hourly labor billing)</t>
  </si>
  <si>
    <t>Built from capabilities/marginal-analysis/spec.md. Blue = input. Yellow = decision cell (Solver changes these). Black = formula.</t>
  </si>
  <si>
    <t>INPUTS - per-crop (crop table)</t>
  </si>
  <si>
    <t>Name</t>
  </si>
  <si>
    <t>Tomatoes</t>
  </si>
  <si>
    <t>Carrots</t>
  </si>
  <si>
    <t>Mesclun</t>
  </si>
  <si>
    <t>Unit</t>
  </si>
  <si>
    <t>Source</t>
  </si>
  <si>
    <t>PRICE</t>
  </si>
  <si>
    <t>USD/bed</t>
  </si>
  <si>
    <t>Case scenario, crop table</t>
  </si>
  <si>
    <t>HRS</t>
  </si>
  <si>
    <t>hours/week/bed</t>
  </si>
  <si>
    <t>FERT_COST</t>
  </si>
  <si>
    <t>DIM_PCT</t>
  </si>
  <si>
    <t>fraction/bed</t>
  </si>
  <si>
    <t>MAXBED</t>
  </si>
  <si>
    <t>beds</t>
  </si>
  <si>
    <t>INPUTS - the named contract (scalars)</t>
  </si>
  <si>
    <t>Value</t>
  </si>
  <si>
    <t>WEEKS</t>
  </si>
  <si>
    <t>weeks</t>
  </si>
  <si>
    <t>Case scenario ("SEASON")</t>
  </si>
  <si>
    <t>FIXED_COST</t>
  </si>
  <si>
    <t>USD/season</t>
  </si>
  <si>
    <t>Case scenario ("FIXED COSTS", to operate entire farm)</t>
  </si>
  <si>
    <t>FARMER_HRS_CAP</t>
  </si>
  <si>
    <t>hours/season</t>
  </si>
  <si>
    <t>Case scenario (farmer's field-hour cap before temp billing)</t>
  </si>
  <si>
    <t>MAX_FARMER_COST</t>
  </si>
  <si>
    <t>Case scenario, descriptive context only - NOT used in any formula</t>
  </si>
  <si>
    <t>FARMER_RATE</t>
  </si>
  <si>
    <t>USD/hour</t>
  </si>
  <si>
    <t>Case scenario ("FARMER RATE" = 50,000 / 1,440)</t>
  </si>
  <si>
    <t>WORKER_HRS_CAP</t>
  </si>
  <si>
    <t>hours/season/worker</t>
  </si>
  <si>
    <t>Case scenario</t>
  </si>
  <si>
    <t>MAX_TEMP_WORKER_COST</t>
  </si>
  <si>
    <t>USD/season/worker</t>
  </si>
  <si>
    <t>TEMP_RATE</t>
  </si>
  <si>
    <t>Case scenario ("TEMP WORKER RATE" = 25,000 / 1,440)</t>
  </si>
  <si>
    <t>WORKER_MAX</t>
  </si>
  <si>
    <t>workers</t>
  </si>
  <si>
    <t>BEDS_TOTAL</t>
  </si>
  <si>
    <t>Case scenario ("64 is the max number of beds allowed")</t>
  </si>
  <si>
    <t>DECISION VARIABLES - integers; Solver 'By Changing Variable Cells'</t>
  </si>
  <si>
    <t>Constraint</t>
  </si>
  <si>
    <t>BEDS</t>
  </si>
  <si>
    <t>integer &gt;= 0 ; BEDS(crop) &lt;= MAXBED(crop) ; SUM(BEDS) &lt;= BEDS_TOTAL</t>
  </si>
  <si>
    <t>Beds planted (SUM)</t>
  </si>
  <si>
    <t>PER-CROP LABOR HOURS (rounded to the nearest minute)</t>
  </si>
  <si>
    <t>Total</t>
  </si>
  <si>
    <t>Formula (named-range form)</t>
  </si>
  <si>
    <t>LABOR_HRS</t>
  </si>
  <si>
    <t>LABOR_HRS(crop) = ROUND(BEDS x HRS x WEEKS x (1+DIM_PCT)^BEDS  to the nearest minute)</t>
  </si>
  <si>
    <t>POOLED LABOR BILLING (farmer covers first FARMER_HRS_CAP; overflow billed to temps)</t>
  </si>
  <si>
    <t>FARMER_HRS_USED</t>
  </si>
  <si>
    <t>hours</t>
  </si>
  <si>
    <t>FARMER_HRS_USED = MIN(LABOR_HRS_TOTAL, FARMER_HRS_CAP)</t>
  </si>
  <si>
    <t>EXCESS_HRS</t>
  </si>
  <si>
    <t>EXCESS_HRS = MAX(0, LABOR_HRS_TOTAL - FARMER_HRS_CAP)</t>
  </si>
  <si>
    <t>FARMER_COST</t>
  </si>
  <si>
    <t>USD</t>
  </si>
  <si>
    <t>FARMER_COST = ROUND(FARMER_HRS_USED x FARMER_RATE, nearest USD 0.10)</t>
  </si>
  <si>
    <t>TEMP_COST</t>
  </si>
  <si>
    <t>TEMP_COST = ROUND(EXCESS_HRS x TEMP_RATE, nearest USD 0.10)</t>
  </si>
  <si>
    <t>LABOR_COST</t>
  </si>
  <si>
    <t>LABOR_COST = FARMER_COST + TEMP_COST</t>
  </si>
  <si>
    <t>N_WORKERS_NEEDED</t>
  </si>
  <si>
    <t>0 if EXCESS_HRS = 0, else ROUNDUP(EXCESS_HRS / WORKER_HRS_CAP)  -- informational, not a decision</t>
  </si>
  <si>
    <t>ROLL-UP - revenue, fertilizer, season profit</t>
  </si>
  <si>
    <t>CROP_REVENUE</t>
  </si>
  <si>
    <t>CROP_REVENUE(crop) = BEDS(crop) x PRICE(crop)  (price fixed regardless of q)</t>
  </si>
  <si>
    <t>CROP_FERT_COST</t>
  </si>
  <si>
    <t>FERT_COST = SUM over crop of (BEDS(crop) x FERT_COST(crop))</t>
  </si>
  <si>
    <t>TOTAL_COST</t>
  </si>
  <si>
    <t>TOTAL_COST = FIXED_COST + FERT_COST + LABOR_COST</t>
  </si>
  <si>
    <t>PROFIT</t>
  </si>
  <si>
    <t>PROFIT = TOTAL_REVENUE - TOTAL_COST</t>
  </si>
  <si>
    <t>VALIDATION RULES - computed in the workbook</t>
  </si>
  <si>
    <t>Rule</t>
  </si>
  <si>
    <t>Pass?</t>
  </si>
  <si>
    <t>Test</t>
  </si>
  <si>
    <t>Beds fit the land cap</t>
  </si>
  <si>
    <t>SUM of BEDS(crop) &lt;= BEDS_TOTAL</t>
  </si>
  <si>
    <t>Tomato beds within per-crop cap</t>
  </si>
  <si>
    <t>BEDS_TOM &lt;= TOM_MAXBED</t>
  </si>
  <si>
    <t>Carrot beds within per-crop cap</t>
  </si>
  <si>
    <t>BEDS_CAR &lt;= CAR_MAXBED</t>
  </si>
  <si>
    <t>Mesclun beds within per-crop cap</t>
  </si>
  <si>
    <t>BEDS_MES &lt;= MES_MAXBED</t>
  </si>
  <si>
    <t>Labor within total capacity (farmer + 4 temps)</t>
  </si>
  <si>
    <t>LABOR_HRS_TOTAL &lt;= FARMER_HRS_CAP + WORKER_MAX x WORKER_HRS_CAP</t>
  </si>
  <si>
    <t>Workers needed within WORKER_MAX</t>
  </si>
  <si>
    <t>N_WORKERS_NEEDED &lt;= WORKER_MAX</t>
  </si>
  <si>
    <t>Bed counts are integers</t>
  </si>
  <si>
    <t>each BEDS(crop) is a whole number</t>
  </si>
  <si>
    <t>Profit reconciles (within $0.005)</t>
  </si>
  <si>
    <t>TOTAL_REVENUE - FIXED_COST - FERT_COST - LABOR_COST = PROFIT</t>
  </si>
  <si>
    <t>ALL RULES PASS</t>
  </si>
  <si>
    <t>AND of every rule above</t>
  </si>
  <si>
    <t>OUTPUTS</t>
  </si>
  <si>
    <t>Tomato beds</t>
  </si>
  <si>
    <t>Carrot beds</t>
  </si>
  <si>
    <t>Mesclun beds</t>
  </si>
  <si>
    <t>Temp workers needed</t>
  </si>
  <si>
    <t>Total labor cost - Farmer</t>
  </si>
  <si>
    <t>Total labor cost - Temp workers</t>
  </si>
  <si>
    <t>Total revenue</t>
  </si>
  <si>
    <t>Profit</t>
  </si>
  <si>
    <t>NOTES (from spec.md Conventions / Audit findings)</t>
  </si>
  <si>
    <t>Pooled hourly billing, confirmed with the user 2026-09-04: all three crops' labor hours are pooled;</t>
  </si>
  <si>
    <t xml:space="preserve">  the farmer absorbs the first FARMER_HRS_CAP (720) hours at FARMER_RATE; every hour beyond that is</t>
  </si>
  <si>
    <t xml:space="preserve">  billed at TEMP_RATE, up to capacity FARMER_HRS_CAP + WORKER_MAX x WORKER_HRS_CAP = 6,480 hours.</t>
  </si>
  <si>
    <t xml:space="preserve">  There is no per-worker fixed fee -- MAX_FARMER_COST and MAX_TEMP_WORKER_COST are descriptive only.</t>
  </si>
  <si>
    <t>FARMER_RATE / TEMP_RATE are the UNROUNDED ratios 50000/1440 and 25000/1440 (confirmed), not the</t>
  </si>
  <si>
    <t xml:space="preserve">  source table's rounded display figures ($34.72 / $17.36).</t>
  </si>
  <si>
    <t>Rounding is applied at every intermediate step (confirmed): hours to the nearest minute, USD to the</t>
  </si>
  <si>
    <t xml:space="preserve">  nearest ten cents -- not only at the final PROFIT figure.</t>
  </si>
  <si>
    <t>Check figure: optimal mix is BEDS_TOM=10 / BEDS_CAR=20 / BEDS_MES=30, stated profit $42,762 within $5.</t>
  </si>
  <si>
    <t xml:space="preserve">  Full enumeration over the whole feasible grid (0-20/0-20/0-30, sum&lt;=64, labor&lt;=6,480 hrs) confirms</t>
  </si>
  <si>
    <t xml:space="preserve">  10/20/30 IS the exact global profit-maximizing allocation under this formula. Computed profit here</t>
  </si>
  <si>
    <t xml:space="preserve">  is $42,768.30 -- a $6.30 gap outside the stated +/-$5. Every rate/rounding variant tried lands</t>
  </si>
  <si>
    <t xml:space="preserve">  $6-13 above the stated figure, never inside the band, so the bed allocation is treated as the</t>
  </si>
  <si>
    <t xml:space="preserve">  confirmed acceptance criterion and the profit gap is flagged (see spec.md Audit findings) rather</t>
  </si>
  <si>
    <t xml:space="preserve">  than silently absorbed.</t>
  </si>
  <si>
    <t>Standalone MC=Price crossings (spec check figure: 10, 10, 6) could not be reproduced under any single</t>
  </si>
  <si>
    <t xml:space="preserve">  consistent per-crop costing convention -- see the 'Standalone Diagnostics' sheet for the two</t>
  </si>
  <si>
    <t xml:space="preserve">  readings tried (all-farmer-rate and all-temp-rate) side by side.</t>
  </si>
  <si>
    <t>Decision cells hold the profit-maximising integer allocation found by full enumeration; the embedded</t>
  </si>
  <si>
    <t xml:space="preserve">  Solver model (Data &gt; Solver) reproduces it.</t>
  </si>
  <si>
    <t>Standalone (single-crop, unconstrained) marginal-cost = price diagnostics</t>
  </si>
  <si>
    <t>Spec check figure: crossings at 10, 10, 6 beds (tomato, carrot, mesclun), within one bed. Neither reading below reproduces all three -- see Model sheet Notes.</t>
  </si>
  <si>
    <t>TOMATOES</t>
  </si>
  <si>
    <t>q</t>
  </si>
  <si>
    <t>LABOR_HRS(q)</t>
  </si>
  <si>
    <t>COST @ FARMER_RATE</t>
  </si>
  <si>
    <t>MC @ FARMER_RATE</t>
  </si>
  <si>
    <t>COST @ TEMP_RATE</t>
  </si>
  <si>
    <t>MC @ TEMP_RATE</t>
  </si>
  <si>
    <t>Crossing (last q with MC&lt;=PRICE)</t>
  </si>
  <si>
    <t>CARROTS</t>
  </si>
  <si>
    <t>MESCLUN</t>
  </si>
  <si>
    <t>Solver model (also stored live in the workbook - open Data &gt; Solver)</t>
  </si>
  <si>
    <t>Set Objective</t>
  </si>
  <si>
    <t>Model!$B$48   (PROFIT)</t>
  </si>
  <si>
    <t>To</t>
  </si>
  <si>
    <t>Max</t>
  </si>
  <si>
    <t>By Changing Variable Cells</t>
  </si>
  <si>
    <t>BEDS_TOM, BEDS_CAR, BEDS_MES</t>
  </si>
  <si>
    <t>Subject to the Constraints</t>
  </si>
  <si>
    <t xml:space="preserve">  1</t>
  </si>
  <si>
    <t xml:space="preserve">  2</t>
  </si>
  <si>
    <t xml:space="preserve">  3</t>
  </si>
  <si>
    <t xml:space="preserve">  4</t>
  </si>
  <si>
    <t>BEDS_TOM + BEDS_CAR + BEDS_MES &lt;= BEDS_TOTAL</t>
  </si>
  <si>
    <t xml:space="preserve">  5</t>
  </si>
  <si>
    <t>LABOR_HRS_TOTAL &lt;= FARMER_HRS_CAP + WORKER_MAX x WORKER_HRS_CAP  (6,480 hrs)</t>
  </si>
  <si>
    <t xml:space="preserve">  6</t>
  </si>
  <si>
    <t>BEDS_TOM, BEDS_CAR, BEDS_MES = integer</t>
  </si>
  <si>
    <t xml:space="preserve">  7</t>
  </si>
  <si>
    <t>BEDS_TOM, BEDS_CAR, BEDS_MES &gt;= 0</t>
  </si>
  <si>
    <t>Solving Method</t>
  </si>
  <si>
    <t>Evolutionary (objective is non-linear via (1+DIM_PCT)^BEDS; integer decisions)</t>
  </si>
  <si>
    <t>Solution found (matches full enumeration)</t>
  </si>
  <si>
    <t xml:space="preserve">  BEDS_TOM</t>
  </si>
  <si>
    <t xml:space="preserve">  BEDS_CAR</t>
  </si>
  <si>
    <t xml:space="preserve">  BEDS_MES</t>
  </si>
  <si>
    <t xml:space="preserve">  PROFIT</t>
  </si>
  <si>
    <t>$42,768.30  (spec check figure: $42,762 within $5 -- see Audit findings in spec.md)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</si>
</sst>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"/>
    <numFmt numFmtId="165" formatCode="0.000"/>
    <numFmt numFmtId="166" formatCode="0.0000"/>
    <numFmt numFmtId="167" formatCode="#,##0&quot; hrs&quot;"/>
    <numFmt numFmtId="168" formatCode="\$#,##0.0000&quot; /hr&quot;"/>
    <numFmt numFmtId="169" formatCode="#,##0.0000&quot; hrs&quot;"/>
    <numFmt numFmtId="170" formatCode="\$#,##0.0"/>
  </numFmts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164" fontId="5" fillId="4" borderId="1" xfId="0" applyNumberFormat="1" applyFont="1" applyFill="1" applyBorder="1"/>
    <xf numFmtId="0" fontId="6" fillId="0" borderId="1" xfId="0" applyFont="1" applyBorder="1"/>
    <xf numFmtId="0" fontId="2" fillId="0" borderId="1" xfId="0" applyFont="1" applyBorder="1"/>
    <xf numFmtId="165" fontId="5" fillId="4" borderId="1" xfId="0" applyNumberFormat="1" applyFont="1" applyFill="1" applyBorder="1"/>
    <xf numFmtId="166" fontId="5" fillId="4" borderId="1" xfId="0" applyNumberFormat="1" applyFont="1" applyFill="1" applyBorder="1"/>
    <xf numFmtId="1" fontId="5" fillId="4" borderId="1" xfId="0" applyNumberFormat="1" applyFont="1" applyFill="1" applyBorder="1"/>
    <xf numFmtId="167" fontId="5" fillId="4" borderId="1" xfId="0" applyNumberFormat="1" applyFont="1" applyFill="1" applyBorder="1"/>
    <xf numFmtId="168" fontId="5" fillId="4" borderId="1" xfId="0" applyNumberFormat="1" applyFont="1" applyFill="1" applyBorder="1"/>
    <xf numFmtId="1" fontId="4" fillId="5" borderId="1" xfId="0" applyNumberFormat="1" applyFont="1" applyFill="1" applyBorder="1"/>
    <xf numFmtId="0" fontId="6" fillId="0" borderId="0" xfId="0" applyFont="1"/>
    <xf numFmtId="1" fontId="7" fillId="0" borderId="0" xfId="0" applyNumberFormat="1" applyFont="1"/>
    <xf numFmtId="169" fontId="7" fillId="0" borderId="1" xfId="0" applyNumberFormat="1" applyFont="1" applyBorder="1"/>
    <xf numFmtId="169" fontId="4" fillId="0" borderId="1" xfId="0" applyNumberFormat="1" applyFont="1" applyBorder="1"/>
    <xf numFmtId="170" fontId="7" fillId="0" borderId="1" xfId="0" applyNumberFormat="1" applyFont="1" applyBorder="1"/>
    <xf numFmtId="1" fontId="7" fillId="0" borderId="1" xfId="0" applyNumberFormat="1" applyFont="1" applyBorder="1"/>
    <xf numFmtId="164" fontId="7" fillId="0" borderId="1" xfId="0" applyNumberFormat="1" applyFont="1" applyBorder="1"/>
    <xf numFmtId="164" fontId="4" fillId="0" borderId="1" xfId="0" applyNumberFormat="1" applyFont="1" applyBorder="1"/>
    <xf numFmtId="170" fontId="4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/>
    <xf numFmtId="1" fontId="4" fillId="0" borderId="0" xfId="0" applyNumberFormat="1" applyFont="1"/>
    <xf numFmtId="0" fontId="1" fillId="0" borderId="0" xfId="0" applyFont="1"/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4"/>
  <sheetViews>
    <sheetView showGridLines="0" tabSelected="1" workbookViewId="0">
      <pane ySplit="3" topLeftCell="A4" activePane="bottomLeft" state="frozen"/>
      <selection pane="bottomLeft" sqref="A1:G1"/>
    </sheetView>
  </sheetViews>
  <sheetFormatPr defaultRowHeight="14.4" x14ac:dyDescent="0.55000000000000004"/>
  <cols>
    <col min="1" max="1" width="32" customWidth="1"/>
    <col min="2" max="5" width="16" customWidth="1"/>
    <col min="6" max="6" width="18" customWidth="1"/>
    <col min="7" max="7" width="58" customWidth="1"/>
  </cols>
  <sheetData>
    <row r="1" spans="1:7" ht="17.7" x14ac:dyDescent="0.6">
      <c r="A1" s="26" t="s">
        <v>0</v>
      </c>
      <c r="B1" s="27"/>
      <c r="C1" s="27"/>
      <c r="D1" s="27"/>
      <c r="E1" s="27"/>
      <c r="F1" s="27"/>
      <c r="G1" s="27"/>
    </row>
    <row r="2" spans="1:7" x14ac:dyDescent="0.55000000000000004">
      <c r="A2" s="28" t="s">
        <v>1</v>
      </c>
      <c r="B2" s="27"/>
      <c r="C2" s="27"/>
      <c r="D2" s="27"/>
      <c r="E2" s="27"/>
      <c r="F2" s="27"/>
      <c r="G2" s="27"/>
    </row>
    <row r="4" spans="1:7" x14ac:dyDescent="0.55000000000000004">
      <c r="A4" s="29" t="s">
        <v>2</v>
      </c>
      <c r="B4" s="27"/>
      <c r="C4" s="27"/>
      <c r="D4" s="27"/>
      <c r="E4" s="27"/>
      <c r="F4" s="27"/>
      <c r="G4" s="27"/>
    </row>
    <row r="5" spans="1:7" x14ac:dyDescent="0.55000000000000004">
      <c r="A5" s="1" t="s">
        <v>3</v>
      </c>
      <c r="B5" s="2" t="s">
        <v>4</v>
      </c>
      <c r="C5" s="2" t="s">
        <v>5</v>
      </c>
      <c r="D5" s="2" t="s">
        <v>6</v>
      </c>
      <c r="F5" s="1" t="s">
        <v>7</v>
      </c>
      <c r="G5" s="1" t="s">
        <v>8</v>
      </c>
    </row>
    <row r="6" spans="1:7" x14ac:dyDescent="0.55000000000000004">
      <c r="A6" s="3" t="s">
        <v>9</v>
      </c>
      <c r="B6" s="4">
        <v>8800</v>
      </c>
      <c r="C6" s="4">
        <v>2094</v>
      </c>
      <c r="D6" s="4">
        <v>2700</v>
      </c>
      <c r="F6" s="5" t="s">
        <v>10</v>
      </c>
      <c r="G6" s="6" t="s">
        <v>11</v>
      </c>
    </row>
    <row r="7" spans="1:7" x14ac:dyDescent="0.55000000000000004">
      <c r="A7" s="3" t="s">
        <v>12</v>
      </c>
      <c r="B7" s="7">
        <v>2.5</v>
      </c>
      <c r="C7" s="7">
        <v>0.83299999999999996</v>
      </c>
      <c r="D7" s="7">
        <v>1.25</v>
      </c>
      <c r="F7" s="5" t="s">
        <v>13</v>
      </c>
      <c r="G7" s="6" t="s">
        <v>11</v>
      </c>
    </row>
    <row r="8" spans="1:7" x14ac:dyDescent="0.55000000000000004">
      <c r="A8" s="3" t="s">
        <v>14</v>
      </c>
      <c r="B8" s="4">
        <v>880</v>
      </c>
      <c r="C8" s="4">
        <v>440</v>
      </c>
      <c r="D8" s="4">
        <v>880</v>
      </c>
      <c r="F8" s="5" t="s">
        <v>10</v>
      </c>
      <c r="G8" s="6" t="s">
        <v>11</v>
      </c>
    </row>
    <row r="9" spans="1:7" x14ac:dyDescent="0.55000000000000004">
      <c r="A9" s="3" t="s">
        <v>15</v>
      </c>
      <c r="B9" s="8">
        <v>0.1</v>
      </c>
      <c r="C9" s="8">
        <v>2.5000000000000001E-2</v>
      </c>
      <c r="D9" s="8">
        <v>1.2500000000000001E-2</v>
      </c>
      <c r="F9" s="5" t="s">
        <v>16</v>
      </c>
      <c r="G9" s="6" t="s">
        <v>11</v>
      </c>
    </row>
    <row r="10" spans="1:7" x14ac:dyDescent="0.55000000000000004">
      <c r="A10" s="3" t="s">
        <v>17</v>
      </c>
      <c r="B10" s="9">
        <v>20</v>
      </c>
      <c r="C10" s="9">
        <v>20</v>
      </c>
      <c r="D10" s="9">
        <v>30</v>
      </c>
      <c r="F10" s="5" t="s">
        <v>18</v>
      </c>
      <c r="G10" s="6" t="s">
        <v>11</v>
      </c>
    </row>
    <row r="12" spans="1:7" x14ac:dyDescent="0.55000000000000004">
      <c r="A12" s="29" t="s">
        <v>19</v>
      </c>
      <c r="B12" s="27"/>
      <c r="C12" s="27"/>
      <c r="D12" s="27"/>
      <c r="E12" s="27"/>
      <c r="F12" s="27"/>
      <c r="G12" s="27"/>
    </row>
    <row r="13" spans="1:7" x14ac:dyDescent="0.55000000000000004">
      <c r="A13" s="1" t="s">
        <v>3</v>
      </c>
      <c r="B13" s="1" t="s">
        <v>20</v>
      </c>
      <c r="F13" s="1" t="s">
        <v>7</v>
      </c>
      <c r="G13" s="1" t="s">
        <v>8</v>
      </c>
    </row>
    <row r="14" spans="1:7" x14ac:dyDescent="0.55000000000000004">
      <c r="A14" s="3" t="s">
        <v>21</v>
      </c>
      <c r="B14" s="9">
        <v>36</v>
      </c>
      <c r="F14" s="5" t="s">
        <v>22</v>
      </c>
      <c r="G14" s="6" t="s">
        <v>23</v>
      </c>
    </row>
    <row r="15" spans="1:7" x14ac:dyDescent="0.55000000000000004">
      <c r="A15" s="3" t="s">
        <v>24</v>
      </c>
      <c r="B15" s="4">
        <v>20000</v>
      </c>
      <c r="F15" s="5" t="s">
        <v>25</v>
      </c>
      <c r="G15" s="6" t="s">
        <v>26</v>
      </c>
    </row>
    <row r="16" spans="1:7" x14ac:dyDescent="0.55000000000000004">
      <c r="A16" s="3" t="s">
        <v>27</v>
      </c>
      <c r="B16" s="10">
        <v>720</v>
      </c>
      <c r="F16" s="5" t="s">
        <v>28</v>
      </c>
      <c r="G16" s="6" t="s">
        <v>29</v>
      </c>
    </row>
    <row r="17" spans="1:7" x14ac:dyDescent="0.55000000000000004">
      <c r="A17" s="3" t="s">
        <v>30</v>
      </c>
      <c r="B17" s="4">
        <v>24998</v>
      </c>
      <c r="F17" s="5" t="s">
        <v>25</v>
      </c>
      <c r="G17" s="6" t="s">
        <v>31</v>
      </c>
    </row>
    <row r="18" spans="1:7" x14ac:dyDescent="0.55000000000000004">
      <c r="A18" s="3" t="s">
        <v>32</v>
      </c>
      <c r="B18" s="11">
        <f>50000/1440</f>
        <v>34.722222222222221</v>
      </c>
      <c r="F18" s="5" t="s">
        <v>33</v>
      </c>
      <c r="G18" s="6" t="s">
        <v>34</v>
      </c>
    </row>
    <row r="19" spans="1:7" x14ac:dyDescent="0.55000000000000004">
      <c r="A19" s="3" t="s">
        <v>35</v>
      </c>
      <c r="B19" s="10">
        <v>1440</v>
      </c>
      <c r="F19" s="5" t="s">
        <v>36</v>
      </c>
      <c r="G19" s="6" t="s">
        <v>37</v>
      </c>
    </row>
    <row r="20" spans="1:7" x14ac:dyDescent="0.55000000000000004">
      <c r="A20" s="3" t="s">
        <v>38</v>
      </c>
      <c r="B20" s="4">
        <v>25000</v>
      </c>
      <c r="F20" s="5" t="s">
        <v>39</v>
      </c>
      <c r="G20" s="6" t="s">
        <v>31</v>
      </c>
    </row>
    <row r="21" spans="1:7" x14ac:dyDescent="0.55000000000000004">
      <c r="A21" s="3" t="s">
        <v>40</v>
      </c>
      <c r="B21" s="11">
        <f>25000/1440</f>
        <v>17.361111111111111</v>
      </c>
      <c r="F21" s="5" t="s">
        <v>33</v>
      </c>
      <c r="G21" s="6" t="s">
        <v>41</v>
      </c>
    </row>
    <row r="22" spans="1:7" x14ac:dyDescent="0.55000000000000004">
      <c r="A22" s="3" t="s">
        <v>42</v>
      </c>
      <c r="B22" s="9">
        <v>4</v>
      </c>
      <c r="F22" s="5" t="s">
        <v>43</v>
      </c>
      <c r="G22" s="6" t="s">
        <v>37</v>
      </c>
    </row>
    <row r="23" spans="1:7" x14ac:dyDescent="0.55000000000000004">
      <c r="A23" s="3" t="s">
        <v>44</v>
      </c>
      <c r="B23" s="9">
        <v>64</v>
      </c>
      <c r="F23" s="5" t="s">
        <v>18</v>
      </c>
      <c r="G23" s="6" t="s">
        <v>45</v>
      </c>
    </row>
    <row r="25" spans="1:7" x14ac:dyDescent="0.55000000000000004">
      <c r="A25" s="29" t="s">
        <v>46</v>
      </c>
      <c r="B25" s="27"/>
      <c r="C25" s="27"/>
      <c r="D25" s="27"/>
      <c r="E25" s="27"/>
      <c r="F25" s="27"/>
      <c r="G25" s="27"/>
    </row>
    <row r="26" spans="1:7" x14ac:dyDescent="0.55000000000000004">
      <c r="A26" s="1" t="s">
        <v>3</v>
      </c>
      <c r="B26" s="2" t="s">
        <v>4</v>
      </c>
      <c r="C26" s="2" t="s">
        <v>5</v>
      </c>
      <c r="D26" s="2" t="s">
        <v>6</v>
      </c>
      <c r="F26" s="1" t="s">
        <v>7</v>
      </c>
      <c r="G26" s="1" t="s">
        <v>47</v>
      </c>
    </row>
    <row r="27" spans="1:7" x14ac:dyDescent="0.55000000000000004">
      <c r="A27" s="3" t="s">
        <v>48</v>
      </c>
      <c r="B27" s="12">
        <v>10</v>
      </c>
      <c r="C27" s="12">
        <v>20</v>
      </c>
      <c r="D27" s="12">
        <v>30</v>
      </c>
      <c r="F27" s="5" t="s">
        <v>18</v>
      </c>
      <c r="G27" s="6" t="s">
        <v>49</v>
      </c>
    </row>
    <row r="28" spans="1:7" x14ac:dyDescent="0.55000000000000004">
      <c r="A28" s="13" t="s">
        <v>50</v>
      </c>
      <c r="B28" s="14">
        <f>BEDS_TOM+BEDS_CAR+BEDS_MES</f>
        <v>60</v>
      </c>
      <c r="F28" s="13" t="s">
        <v>18</v>
      </c>
    </row>
    <row r="30" spans="1:7" x14ac:dyDescent="0.55000000000000004">
      <c r="A30" s="29" t="s">
        <v>51</v>
      </c>
      <c r="B30" s="27"/>
      <c r="C30" s="27"/>
      <c r="D30" s="27"/>
      <c r="E30" s="27"/>
      <c r="F30" s="27"/>
      <c r="G30" s="27"/>
    </row>
    <row r="31" spans="1:7" x14ac:dyDescent="0.55000000000000004">
      <c r="A31" s="1" t="s">
        <v>3</v>
      </c>
      <c r="B31" s="2" t="s">
        <v>4</v>
      </c>
      <c r="C31" s="2" t="s">
        <v>5</v>
      </c>
      <c r="D31" s="2" t="s">
        <v>6</v>
      </c>
      <c r="E31" s="2" t="s">
        <v>52</v>
      </c>
      <c r="G31" s="1" t="s">
        <v>53</v>
      </c>
    </row>
    <row r="32" spans="1:7" x14ac:dyDescent="0.55000000000000004">
      <c r="A32" s="3" t="s">
        <v>54</v>
      </c>
      <c r="B32" s="15">
        <f>ROUND(BEDS_TOM*TOM_HRS*WEEKS*(1+TOM_DIM_PCT)^BEDS_TOM*60,0)/60</f>
        <v>2334.3666666666668</v>
      </c>
      <c r="C32" s="15">
        <f>ROUND(BEDS_CAR*CAR_HRS*WEEKS*(1+CAR_DIM_PCT)^BEDS_CAR*60,0)/60</f>
        <v>982.7833333333333</v>
      </c>
      <c r="D32" s="15">
        <f>ROUND(BEDS_MES*MES_HRS*WEEKS*(1+MES_DIM_PCT)^BEDS_MES*60,0)/60</f>
        <v>1959.6833333333334</v>
      </c>
      <c r="E32" s="16">
        <f>SUM(B32:D32)</f>
        <v>5276.8333333333339</v>
      </c>
      <c r="G32" s="6" t="s">
        <v>55</v>
      </c>
    </row>
    <row r="34" spans="1:7" x14ac:dyDescent="0.55000000000000004">
      <c r="A34" s="29" t="s">
        <v>56</v>
      </c>
      <c r="B34" s="27"/>
      <c r="C34" s="27"/>
      <c r="D34" s="27"/>
      <c r="E34" s="27"/>
      <c r="F34" s="27"/>
      <c r="G34" s="27"/>
    </row>
    <row r="35" spans="1:7" x14ac:dyDescent="0.55000000000000004">
      <c r="A35" s="1" t="s">
        <v>3</v>
      </c>
      <c r="B35" s="1" t="s">
        <v>20</v>
      </c>
      <c r="F35" s="1" t="s">
        <v>7</v>
      </c>
      <c r="G35" s="1" t="s">
        <v>53</v>
      </c>
    </row>
    <row r="36" spans="1:7" x14ac:dyDescent="0.55000000000000004">
      <c r="A36" s="3" t="s">
        <v>57</v>
      </c>
      <c r="B36" s="15">
        <f>MIN(LABOR_HRS_TOTAL,FARMER_HRS_CAP)</f>
        <v>720</v>
      </c>
      <c r="F36" s="5" t="s">
        <v>58</v>
      </c>
      <c r="G36" s="6" t="s">
        <v>59</v>
      </c>
    </row>
    <row r="37" spans="1:7" x14ac:dyDescent="0.55000000000000004">
      <c r="A37" s="3" t="s">
        <v>60</v>
      </c>
      <c r="B37" s="15">
        <f>MAX(0,LABOR_HRS_TOTAL-FARMER_HRS_CAP)</f>
        <v>4556.8333333333339</v>
      </c>
      <c r="F37" s="5" t="s">
        <v>58</v>
      </c>
      <c r="G37" s="6" t="s">
        <v>61</v>
      </c>
    </row>
    <row r="38" spans="1:7" x14ac:dyDescent="0.55000000000000004">
      <c r="A38" s="3" t="s">
        <v>62</v>
      </c>
      <c r="B38" s="17">
        <f>ROUND(FARMER_HRS_USED*FARMER_RATE,1)</f>
        <v>25000</v>
      </c>
      <c r="F38" s="5" t="s">
        <v>63</v>
      </c>
      <c r="G38" s="6" t="s">
        <v>64</v>
      </c>
    </row>
    <row r="39" spans="1:7" x14ac:dyDescent="0.55000000000000004">
      <c r="A39" s="3" t="s">
        <v>65</v>
      </c>
      <c r="B39" s="17">
        <f>ROUND(EXCESS_HRS*TEMP_RATE,1)</f>
        <v>79111.7</v>
      </c>
      <c r="F39" s="5" t="s">
        <v>63</v>
      </c>
      <c r="G39" s="6" t="s">
        <v>66</v>
      </c>
    </row>
    <row r="40" spans="1:7" x14ac:dyDescent="0.55000000000000004">
      <c r="A40" s="3" t="s">
        <v>67</v>
      </c>
      <c r="B40" s="17">
        <f>FARMER_COST+TEMP_COST</f>
        <v>104111.7</v>
      </c>
      <c r="F40" s="5" t="s">
        <v>63</v>
      </c>
      <c r="G40" s="6" t="s">
        <v>68</v>
      </c>
    </row>
    <row r="41" spans="1:7" x14ac:dyDescent="0.55000000000000004">
      <c r="A41" s="3" t="s">
        <v>69</v>
      </c>
      <c r="B41" s="18">
        <f>IF(EXCESS_HRS&lt;=0,0,ROUNDUP(EXCESS_HRS/WORKER_HRS_CAP,0))</f>
        <v>4</v>
      </c>
      <c r="F41" s="5" t="s">
        <v>43</v>
      </c>
      <c r="G41" s="6" t="s">
        <v>70</v>
      </c>
    </row>
    <row r="43" spans="1:7" x14ac:dyDescent="0.55000000000000004">
      <c r="A43" s="29" t="s">
        <v>71</v>
      </c>
      <c r="B43" s="27"/>
      <c r="C43" s="27"/>
      <c r="D43" s="27"/>
      <c r="E43" s="27"/>
      <c r="F43" s="27"/>
      <c r="G43" s="27"/>
    </row>
    <row r="44" spans="1:7" x14ac:dyDescent="0.55000000000000004">
      <c r="A44" s="1" t="s">
        <v>3</v>
      </c>
      <c r="B44" s="2" t="s">
        <v>4</v>
      </c>
      <c r="C44" s="2" t="s">
        <v>5</v>
      </c>
      <c r="D44" s="2" t="s">
        <v>6</v>
      </c>
      <c r="E44" s="2" t="s">
        <v>52</v>
      </c>
      <c r="G44" s="1" t="s">
        <v>53</v>
      </c>
    </row>
    <row r="45" spans="1:7" x14ac:dyDescent="0.55000000000000004">
      <c r="A45" s="3" t="s">
        <v>72</v>
      </c>
      <c r="B45" s="19">
        <f>BEDS_TOM*TOM_PRICE</f>
        <v>88000</v>
      </c>
      <c r="C45" s="19">
        <f>BEDS_CAR*CAR_PRICE</f>
        <v>41880</v>
      </c>
      <c r="D45" s="19">
        <f>BEDS_MES*MES_PRICE</f>
        <v>81000</v>
      </c>
      <c r="E45" s="20">
        <f>SUM(B45:D45)</f>
        <v>210880</v>
      </c>
      <c r="G45" s="6" t="s">
        <v>73</v>
      </c>
    </row>
    <row r="46" spans="1:7" x14ac:dyDescent="0.55000000000000004">
      <c r="A46" s="3" t="s">
        <v>74</v>
      </c>
      <c r="B46" s="19">
        <f>BEDS_TOM*TOM_FERT_COST</f>
        <v>8800</v>
      </c>
      <c r="C46" s="19">
        <f>BEDS_CAR*CAR_FERT_COST</f>
        <v>8800</v>
      </c>
      <c r="D46" s="19">
        <f>BEDS_MES*MES_FERT_COST</f>
        <v>26400</v>
      </c>
      <c r="E46" s="20">
        <f>ROUND(SUM(B46:D46),1)</f>
        <v>44000</v>
      </c>
      <c r="G46" s="6" t="s">
        <v>75</v>
      </c>
    </row>
    <row r="47" spans="1:7" x14ac:dyDescent="0.55000000000000004">
      <c r="A47" s="3" t="s">
        <v>76</v>
      </c>
      <c r="B47" s="21">
        <f>ROUND(FIXED_COST+FERT_COST+LABOR_COST,1)</f>
        <v>168111.7</v>
      </c>
      <c r="F47" s="5" t="s">
        <v>63</v>
      </c>
      <c r="G47" s="6" t="s">
        <v>77</v>
      </c>
    </row>
    <row r="48" spans="1:7" x14ac:dyDescent="0.55000000000000004">
      <c r="A48" s="3" t="s">
        <v>78</v>
      </c>
      <c r="B48" s="21">
        <f>ROUND(TOTAL_REVENUE-TOTAL_COST,1)</f>
        <v>42768.3</v>
      </c>
      <c r="F48" s="5" t="s">
        <v>63</v>
      </c>
      <c r="G48" s="6" t="s">
        <v>79</v>
      </c>
    </row>
    <row r="50" spans="1:7" x14ac:dyDescent="0.55000000000000004">
      <c r="A50" s="29" t="s">
        <v>80</v>
      </c>
      <c r="B50" s="27"/>
      <c r="C50" s="27"/>
      <c r="D50" s="27"/>
      <c r="E50" s="27"/>
      <c r="F50" s="27"/>
      <c r="G50" s="27"/>
    </row>
    <row r="51" spans="1:7" x14ac:dyDescent="0.55000000000000004">
      <c r="A51" s="1" t="s">
        <v>81</v>
      </c>
      <c r="B51" s="1" t="s">
        <v>82</v>
      </c>
      <c r="G51" s="1" t="s">
        <v>83</v>
      </c>
    </row>
    <row r="52" spans="1:7" x14ac:dyDescent="0.55000000000000004">
      <c r="A52" s="5" t="s">
        <v>84</v>
      </c>
      <c r="B52" s="22" t="b">
        <f>BEDS_PLANTED&lt;=BEDS_TOTAL</f>
        <v>1</v>
      </c>
      <c r="G52" s="6" t="s">
        <v>85</v>
      </c>
    </row>
    <row r="53" spans="1:7" x14ac:dyDescent="0.55000000000000004">
      <c r="A53" s="5" t="s">
        <v>86</v>
      </c>
      <c r="B53" s="22" t="b">
        <f>BEDS_TOM&lt;=TOM_MAXBED</f>
        <v>1</v>
      </c>
      <c r="G53" s="6" t="s">
        <v>87</v>
      </c>
    </row>
    <row r="54" spans="1:7" x14ac:dyDescent="0.55000000000000004">
      <c r="A54" s="5" t="s">
        <v>88</v>
      </c>
      <c r="B54" s="22" t="b">
        <f>BEDS_CAR&lt;=CAR_MAXBED</f>
        <v>1</v>
      </c>
      <c r="G54" s="6" t="s">
        <v>89</v>
      </c>
    </row>
    <row r="55" spans="1:7" x14ac:dyDescent="0.55000000000000004">
      <c r="A55" s="5" t="s">
        <v>90</v>
      </c>
      <c r="B55" s="22" t="b">
        <f>BEDS_MES&lt;=MES_MAXBED</f>
        <v>1</v>
      </c>
      <c r="G55" s="6" t="s">
        <v>91</v>
      </c>
    </row>
    <row r="56" spans="1:7" x14ac:dyDescent="0.55000000000000004">
      <c r="A56" s="5" t="s">
        <v>92</v>
      </c>
      <c r="B56" s="22" t="b">
        <f>LABOR_HRS_TOTAL&lt;=(FARMER_HRS_CAP+WORKER_MAX*WORKER_HRS_CAP)</f>
        <v>1</v>
      </c>
      <c r="G56" s="6" t="s">
        <v>93</v>
      </c>
    </row>
    <row r="57" spans="1:7" x14ac:dyDescent="0.55000000000000004">
      <c r="A57" s="5" t="s">
        <v>94</v>
      </c>
      <c r="B57" s="22" t="b">
        <f>N_WORKERS_NEEDED&lt;=WORKER_MAX</f>
        <v>1</v>
      </c>
      <c r="G57" s="6" t="s">
        <v>95</v>
      </c>
    </row>
    <row r="58" spans="1:7" x14ac:dyDescent="0.55000000000000004">
      <c r="A58" s="5" t="s">
        <v>96</v>
      </c>
      <c r="B58" s="22" t="b">
        <f>AND(BEDS_TOM=INT(BEDS_TOM),BEDS_CAR=INT(BEDS_CAR),BEDS_MES=INT(BEDS_MES))</f>
        <v>1</v>
      </c>
      <c r="G58" s="6" t="s">
        <v>97</v>
      </c>
    </row>
    <row r="59" spans="1:7" x14ac:dyDescent="0.55000000000000004">
      <c r="A59" s="5" t="s">
        <v>98</v>
      </c>
      <c r="B59" s="22" t="b">
        <f>ABS((TOTAL_REVENUE-FIXED_COST-FERT_COST-LABOR_COST)-PROFIT)&lt;0.005</f>
        <v>1</v>
      </c>
      <c r="G59" s="6" t="s">
        <v>99</v>
      </c>
    </row>
    <row r="60" spans="1:7" x14ac:dyDescent="0.55000000000000004">
      <c r="A60" s="3" t="s">
        <v>100</v>
      </c>
      <c r="B60" s="23" t="b">
        <f>AND(B52:B59)</f>
        <v>1</v>
      </c>
      <c r="G60" s="6" t="s">
        <v>101</v>
      </c>
    </row>
    <row r="62" spans="1:7" x14ac:dyDescent="0.55000000000000004">
      <c r="A62" s="29" t="s">
        <v>102</v>
      </c>
      <c r="B62" s="27"/>
      <c r="C62" s="27"/>
      <c r="D62" s="27"/>
      <c r="E62" s="27"/>
      <c r="F62" s="27"/>
      <c r="G62" s="27"/>
    </row>
    <row r="63" spans="1:7" x14ac:dyDescent="0.55000000000000004">
      <c r="A63" s="1" t="s">
        <v>3</v>
      </c>
      <c r="B63" s="1" t="s">
        <v>20</v>
      </c>
      <c r="F63" s="1" t="s">
        <v>7</v>
      </c>
    </row>
    <row r="64" spans="1:7" x14ac:dyDescent="0.55000000000000004">
      <c r="A64" s="5" t="s">
        <v>103</v>
      </c>
      <c r="B64" s="18">
        <f>BEDS_TOM</f>
        <v>10</v>
      </c>
      <c r="F64" s="5" t="s">
        <v>18</v>
      </c>
    </row>
    <row r="65" spans="1:7" x14ac:dyDescent="0.55000000000000004">
      <c r="A65" s="5" t="s">
        <v>104</v>
      </c>
      <c r="B65" s="18">
        <f>BEDS_CAR</f>
        <v>20</v>
      </c>
      <c r="F65" s="5" t="s">
        <v>18</v>
      </c>
    </row>
    <row r="66" spans="1:7" x14ac:dyDescent="0.55000000000000004">
      <c r="A66" s="5" t="s">
        <v>105</v>
      </c>
      <c r="B66" s="18">
        <f>BEDS_MES</f>
        <v>30</v>
      </c>
      <c r="F66" s="5" t="s">
        <v>18</v>
      </c>
    </row>
    <row r="67" spans="1:7" x14ac:dyDescent="0.55000000000000004">
      <c r="A67" s="5" t="s">
        <v>106</v>
      </c>
      <c r="B67" s="18">
        <f>N_WORKERS_NEEDED</f>
        <v>4</v>
      </c>
      <c r="F67" s="5" t="s">
        <v>43</v>
      </c>
    </row>
    <row r="68" spans="1:7" x14ac:dyDescent="0.55000000000000004">
      <c r="A68" s="5" t="s">
        <v>107</v>
      </c>
      <c r="B68" s="17">
        <f>FARMER_COST</f>
        <v>25000</v>
      </c>
      <c r="F68" s="5" t="s">
        <v>63</v>
      </c>
    </row>
    <row r="69" spans="1:7" x14ac:dyDescent="0.55000000000000004">
      <c r="A69" s="5" t="s">
        <v>108</v>
      </c>
      <c r="B69" s="17">
        <f>TEMP_COST</f>
        <v>79111.7</v>
      </c>
      <c r="F69" s="5" t="s">
        <v>63</v>
      </c>
    </row>
    <row r="70" spans="1:7" x14ac:dyDescent="0.55000000000000004">
      <c r="A70" s="5" t="s">
        <v>109</v>
      </c>
      <c r="B70" s="19">
        <f>TOTAL_REVENUE</f>
        <v>210880</v>
      </c>
      <c r="F70" s="5" t="s">
        <v>63</v>
      </c>
    </row>
    <row r="71" spans="1:7" x14ac:dyDescent="0.55000000000000004">
      <c r="A71" s="3" t="s">
        <v>110</v>
      </c>
      <c r="B71" s="21">
        <f>PROFIT</f>
        <v>42768.3</v>
      </c>
      <c r="F71" s="5" t="s">
        <v>63</v>
      </c>
    </row>
    <row r="74" spans="1:7" x14ac:dyDescent="0.55000000000000004">
      <c r="A74" s="29" t="s">
        <v>111</v>
      </c>
      <c r="B74" s="27"/>
      <c r="C74" s="27"/>
      <c r="D74" s="27"/>
      <c r="E74" s="27"/>
      <c r="F74" s="27"/>
      <c r="G74" s="27"/>
    </row>
    <row r="75" spans="1:7" x14ac:dyDescent="0.55000000000000004">
      <c r="A75" s="28" t="s">
        <v>112</v>
      </c>
      <c r="B75" s="27"/>
      <c r="C75" s="27"/>
      <c r="D75" s="27"/>
      <c r="E75" s="27"/>
      <c r="F75" s="27"/>
      <c r="G75" s="27"/>
    </row>
    <row r="76" spans="1:7" x14ac:dyDescent="0.55000000000000004">
      <c r="A76" s="28" t="s">
        <v>113</v>
      </c>
      <c r="B76" s="27"/>
      <c r="C76" s="27"/>
      <c r="D76" s="27"/>
      <c r="E76" s="27"/>
      <c r="F76" s="27"/>
      <c r="G76" s="27"/>
    </row>
    <row r="77" spans="1:7" x14ac:dyDescent="0.55000000000000004">
      <c r="A77" s="28" t="s">
        <v>114</v>
      </c>
      <c r="B77" s="27"/>
      <c r="C77" s="27"/>
      <c r="D77" s="27"/>
      <c r="E77" s="27"/>
      <c r="F77" s="27"/>
      <c r="G77" s="27"/>
    </row>
    <row r="78" spans="1:7" x14ac:dyDescent="0.55000000000000004">
      <c r="A78" s="28" t="s">
        <v>115</v>
      </c>
      <c r="B78" s="27"/>
      <c r="C78" s="27"/>
      <c r="D78" s="27"/>
      <c r="E78" s="27"/>
      <c r="F78" s="27"/>
      <c r="G78" s="27"/>
    </row>
    <row r="79" spans="1:7" x14ac:dyDescent="0.55000000000000004">
      <c r="A79" s="28" t="s">
        <v>116</v>
      </c>
      <c r="B79" s="27"/>
      <c r="C79" s="27"/>
      <c r="D79" s="27"/>
      <c r="E79" s="27"/>
      <c r="F79" s="27"/>
      <c r="G79" s="27"/>
    </row>
    <row r="80" spans="1:7" x14ac:dyDescent="0.55000000000000004">
      <c r="A80" s="28" t="s">
        <v>117</v>
      </c>
      <c r="B80" s="27"/>
      <c r="C80" s="27"/>
      <c r="D80" s="27"/>
      <c r="E80" s="27"/>
      <c r="F80" s="27"/>
      <c r="G80" s="27"/>
    </row>
    <row r="81" spans="1:7" x14ac:dyDescent="0.55000000000000004">
      <c r="A81" s="28" t="s">
        <v>118</v>
      </c>
      <c r="B81" s="27"/>
      <c r="C81" s="27"/>
      <c r="D81" s="27"/>
      <c r="E81" s="27"/>
      <c r="F81" s="27"/>
      <c r="G81" s="27"/>
    </row>
    <row r="82" spans="1:7" x14ac:dyDescent="0.55000000000000004">
      <c r="A82" s="28" t="s">
        <v>119</v>
      </c>
      <c r="B82" s="27"/>
      <c r="C82" s="27"/>
      <c r="D82" s="27"/>
      <c r="E82" s="27"/>
      <c r="F82" s="27"/>
      <c r="G82" s="27"/>
    </row>
    <row r="83" spans="1:7" x14ac:dyDescent="0.55000000000000004">
      <c r="A83" s="28" t="s">
        <v>120</v>
      </c>
      <c r="B83" s="27"/>
      <c r="C83" s="27"/>
      <c r="D83" s="27"/>
      <c r="E83" s="27"/>
      <c r="F83" s="27"/>
      <c r="G83" s="27"/>
    </row>
    <row r="84" spans="1:7" x14ac:dyDescent="0.55000000000000004">
      <c r="A84" s="28" t="s">
        <v>121</v>
      </c>
      <c r="B84" s="27"/>
      <c r="C84" s="27"/>
      <c r="D84" s="27"/>
      <c r="E84" s="27"/>
      <c r="F84" s="27"/>
      <c r="G84" s="27"/>
    </row>
    <row r="85" spans="1:7" x14ac:dyDescent="0.55000000000000004">
      <c r="A85" s="28" t="s">
        <v>122</v>
      </c>
      <c r="B85" s="27"/>
      <c r="C85" s="27"/>
      <c r="D85" s="27"/>
      <c r="E85" s="27"/>
      <c r="F85" s="27"/>
      <c r="G85" s="27"/>
    </row>
    <row r="86" spans="1:7" x14ac:dyDescent="0.55000000000000004">
      <c r="A86" s="28" t="s">
        <v>123</v>
      </c>
      <c r="B86" s="27"/>
      <c r="C86" s="27"/>
      <c r="D86" s="27"/>
      <c r="E86" s="27"/>
      <c r="F86" s="27"/>
      <c r="G86" s="27"/>
    </row>
    <row r="87" spans="1:7" x14ac:dyDescent="0.55000000000000004">
      <c r="A87" s="28" t="s">
        <v>124</v>
      </c>
      <c r="B87" s="27"/>
      <c r="C87" s="27"/>
      <c r="D87" s="27"/>
      <c r="E87" s="27"/>
      <c r="F87" s="27"/>
      <c r="G87" s="27"/>
    </row>
    <row r="88" spans="1:7" x14ac:dyDescent="0.55000000000000004">
      <c r="A88" s="28" t="s">
        <v>125</v>
      </c>
      <c r="B88" s="27"/>
      <c r="C88" s="27"/>
      <c r="D88" s="27"/>
      <c r="E88" s="27"/>
      <c r="F88" s="27"/>
      <c r="G88" s="27"/>
    </row>
    <row r="89" spans="1:7" x14ac:dyDescent="0.55000000000000004">
      <c r="A89" s="28" t="s">
        <v>126</v>
      </c>
      <c r="B89" s="27"/>
      <c r="C89" s="27"/>
      <c r="D89" s="27"/>
      <c r="E89" s="27"/>
      <c r="F89" s="27"/>
      <c r="G89" s="27"/>
    </row>
    <row r="90" spans="1:7" x14ac:dyDescent="0.55000000000000004">
      <c r="A90" s="28" t="s">
        <v>127</v>
      </c>
      <c r="B90" s="27"/>
      <c r="C90" s="27"/>
      <c r="D90" s="27"/>
      <c r="E90" s="27"/>
      <c r="F90" s="27"/>
      <c r="G90" s="27"/>
    </row>
    <row r="91" spans="1:7" x14ac:dyDescent="0.55000000000000004">
      <c r="A91" s="28" t="s">
        <v>128</v>
      </c>
      <c r="B91" s="27"/>
      <c r="C91" s="27"/>
      <c r="D91" s="27"/>
      <c r="E91" s="27"/>
      <c r="F91" s="27"/>
      <c r="G91" s="27"/>
    </row>
    <row r="92" spans="1:7" x14ac:dyDescent="0.55000000000000004">
      <c r="A92" s="28" t="s">
        <v>129</v>
      </c>
      <c r="B92" s="27"/>
      <c r="C92" s="27"/>
      <c r="D92" s="27"/>
      <c r="E92" s="27"/>
      <c r="F92" s="27"/>
      <c r="G92" s="27"/>
    </row>
    <row r="93" spans="1:7" x14ac:dyDescent="0.55000000000000004">
      <c r="A93" s="28" t="s">
        <v>130</v>
      </c>
      <c r="B93" s="27"/>
      <c r="C93" s="27"/>
      <c r="D93" s="27"/>
      <c r="E93" s="27"/>
      <c r="F93" s="27"/>
      <c r="G93" s="27"/>
    </row>
    <row r="94" spans="1:7" x14ac:dyDescent="0.55000000000000004">
      <c r="A94" s="28" t="s">
        <v>131</v>
      </c>
      <c r="B94" s="27"/>
      <c r="C94" s="27"/>
      <c r="D94" s="27"/>
      <c r="E94" s="27"/>
      <c r="F94" s="27"/>
      <c r="G94" s="27"/>
    </row>
  </sheetData>
  <mergeCells count="31">
    <mergeCell ref="A4:G4"/>
    <mergeCell ref="A62:G62"/>
    <mergeCell ref="A81:G81"/>
    <mergeCell ref="A43:G43"/>
    <mergeCell ref="A30:G30"/>
    <mergeCell ref="A93:G93"/>
    <mergeCell ref="A77:G77"/>
    <mergeCell ref="A34:G34"/>
    <mergeCell ref="A83:G83"/>
    <mergeCell ref="A92:G92"/>
    <mergeCell ref="A82:G82"/>
    <mergeCell ref="A86:G86"/>
    <mergeCell ref="A76:G76"/>
    <mergeCell ref="A85:G85"/>
    <mergeCell ref="A91:G91"/>
    <mergeCell ref="A1:G1"/>
    <mergeCell ref="A88:G88"/>
    <mergeCell ref="A94:G94"/>
    <mergeCell ref="A79:G79"/>
    <mergeCell ref="A87:G87"/>
    <mergeCell ref="A78:G78"/>
    <mergeCell ref="A25:G25"/>
    <mergeCell ref="A90:G90"/>
    <mergeCell ref="A75:G75"/>
    <mergeCell ref="A84:G84"/>
    <mergeCell ref="A89:G89"/>
    <mergeCell ref="A74:G74"/>
    <mergeCell ref="A80:G80"/>
    <mergeCell ref="A12:G12"/>
    <mergeCell ref="A50:G50"/>
    <mergeCell ref="A2:G2"/>
  </mergeCells>
  <pageMargins left="0.75" right="0.75" top="1" bottom="1" header="0.5" footer="0.5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7"/>
  <sheetViews>
    <sheetView workbookViewId="0"/>
  </sheetViews>
  <sheetFormatPr defaultRowHeight="14.4" x14ac:dyDescent="0.55000000000000004"/>
  <cols>
    <col min="1" max="1" width="10" customWidth="1"/>
    <col min="2" max="6" width="16" customWidth="1"/>
    <col min="7" max="7" width="60" customWidth="1"/>
  </cols>
  <sheetData>
    <row r="1" spans="1:7" ht="17.7" x14ac:dyDescent="0.6">
      <c r="A1" s="26" t="s">
        <v>132</v>
      </c>
      <c r="B1" s="27"/>
      <c r="C1" s="27"/>
      <c r="D1" s="27"/>
      <c r="E1" s="27"/>
      <c r="F1" s="27"/>
      <c r="G1" s="27"/>
    </row>
    <row r="2" spans="1:7" x14ac:dyDescent="0.55000000000000004">
      <c r="A2" s="28" t="s">
        <v>133</v>
      </c>
      <c r="B2" s="27"/>
      <c r="C2" s="27"/>
      <c r="D2" s="27"/>
      <c r="E2" s="27"/>
      <c r="F2" s="27"/>
      <c r="G2" s="27"/>
    </row>
    <row r="4" spans="1:7" x14ac:dyDescent="0.55000000000000004">
      <c r="A4" s="29" t="s">
        <v>134</v>
      </c>
      <c r="B4" s="27"/>
      <c r="C4" s="27"/>
      <c r="D4" s="27"/>
      <c r="E4" s="27"/>
      <c r="F4" s="27"/>
      <c r="G4" s="27"/>
    </row>
    <row r="5" spans="1:7" x14ac:dyDescent="0.55000000000000004">
      <c r="A5" s="1" t="s">
        <v>135</v>
      </c>
      <c r="B5" s="1" t="s">
        <v>136</v>
      </c>
      <c r="C5" s="1" t="s">
        <v>137</v>
      </c>
      <c r="D5" s="1" t="s">
        <v>138</v>
      </c>
      <c r="E5" s="1" t="s">
        <v>139</v>
      </c>
      <c r="F5" s="1" t="s">
        <v>140</v>
      </c>
      <c r="G5" s="1"/>
    </row>
    <row r="6" spans="1:7" x14ac:dyDescent="0.55000000000000004">
      <c r="A6" s="5">
        <v>0</v>
      </c>
      <c r="B6" s="15">
        <f t="shared" ref="B6:B26" si="0">ROUND(A6*TOM_HRS*WEEKS*(1+TOM_DIM_PCT)^A6*60,0)/60</f>
        <v>0</v>
      </c>
      <c r="C6" s="17">
        <f t="shared" ref="C6:C26" si="1">ROUND(B6*FARMER_RATE+A6*TOM_FERT_COST,1)</f>
        <v>0</v>
      </c>
      <c r="D6" s="17">
        <v>0</v>
      </c>
      <c r="E6" s="17">
        <f t="shared" ref="E6:E26" si="2">ROUND(B6*TEMP_RATE+A6*TOM_FERT_COST,1)</f>
        <v>0</v>
      </c>
      <c r="F6" s="17">
        <v>0</v>
      </c>
    </row>
    <row r="7" spans="1:7" x14ac:dyDescent="0.55000000000000004">
      <c r="A7" s="5">
        <v>1</v>
      </c>
      <c r="B7" s="15">
        <f t="shared" si="0"/>
        <v>99</v>
      </c>
      <c r="C7" s="17">
        <f t="shared" si="1"/>
        <v>4317.5</v>
      </c>
      <c r="D7" s="17">
        <f t="shared" ref="D7:D26" si="3">C7-C6</f>
        <v>4317.5</v>
      </c>
      <c r="E7" s="17">
        <f t="shared" si="2"/>
        <v>2598.8000000000002</v>
      </c>
      <c r="F7" s="17">
        <f t="shared" ref="F7:F26" si="4">E7-E6</f>
        <v>2598.8000000000002</v>
      </c>
    </row>
    <row r="8" spans="1:7" x14ac:dyDescent="0.55000000000000004">
      <c r="A8" s="5">
        <v>2</v>
      </c>
      <c r="B8" s="15">
        <f t="shared" si="0"/>
        <v>217.8</v>
      </c>
      <c r="C8" s="17">
        <f t="shared" si="1"/>
        <v>9322.5</v>
      </c>
      <c r="D8" s="17">
        <f t="shared" si="3"/>
        <v>5005</v>
      </c>
      <c r="E8" s="17">
        <f t="shared" si="2"/>
        <v>5541.3</v>
      </c>
      <c r="F8" s="17">
        <f t="shared" si="4"/>
        <v>2942.5</v>
      </c>
    </row>
    <row r="9" spans="1:7" x14ac:dyDescent="0.55000000000000004">
      <c r="A9" s="5">
        <v>3</v>
      </c>
      <c r="B9" s="15">
        <f t="shared" si="0"/>
        <v>359.36666666666667</v>
      </c>
      <c r="C9" s="17">
        <f t="shared" si="1"/>
        <v>15118</v>
      </c>
      <c r="D9" s="17">
        <f t="shared" si="3"/>
        <v>5795.5</v>
      </c>
      <c r="E9" s="17">
        <f t="shared" si="2"/>
        <v>8879</v>
      </c>
      <c r="F9" s="17">
        <f t="shared" si="4"/>
        <v>3337.7</v>
      </c>
    </row>
    <row r="10" spans="1:7" x14ac:dyDescent="0.55000000000000004">
      <c r="A10" s="5">
        <v>4</v>
      </c>
      <c r="B10" s="15">
        <f t="shared" si="0"/>
        <v>527.08333333333337</v>
      </c>
      <c r="C10" s="17">
        <f t="shared" si="1"/>
        <v>21821.5</v>
      </c>
      <c r="D10" s="17">
        <f t="shared" si="3"/>
        <v>6703.5</v>
      </c>
      <c r="E10" s="17">
        <f t="shared" si="2"/>
        <v>12670.8</v>
      </c>
      <c r="F10" s="17">
        <f t="shared" si="4"/>
        <v>3791.7999999999993</v>
      </c>
    </row>
    <row r="11" spans="1:7" x14ac:dyDescent="0.55000000000000004">
      <c r="A11" s="5">
        <v>5</v>
      </c>
      <c r="B11" s="15">
        <f t="shared" si="0"/>
        <v>724.73333333333335</v>
      </c>
      <c r="C11" s="17">
        <f t="shared" si="1"/>
        <v>29564.400000000001</v>
      </c>
      <c r="D11" s="17">
        <f t="shared" si="3"/>
        <v>7742.9000000000015</v>
      </c>
      <c r="E11" s="17">
        <f t="shared" si="2"/>
        <v>16982.2</v>
      </c>
      <c r="F11" s="17">
        <f t="shared" si="4"/>
        <v>4311.4000000000015</v>
      </c>
    </row>
    <row r="12" spans="1:7" x14ac:dyDescent="0.55000000000000004">
      <c r="A12" s="5">
        <v>6</v>
      </c>
      <c r="B12" s="15">
        <f t="shared" si="0"/>
        <v>956.65</v>
      </c>
      <c r="C12" s="17">
        <f t="shared" si="1"/>
        <v>38497</v>
      </c>
      <c r="D12" s="17">
        <f t="shared" si="3"/>
        <v>8932.5999999999985</v>
      </c>
      <c r="E12" s="17">
        <f t="shared" si="2"/>
        <v>21888.5</v>
      </c>
      <c r="F12" s="17">
        <f t="shared" si="4"/>
        <v>4906.2999999999993</v>
      </c>
    </row>
    <row r="13" spans="1:7" x14ac:dyDescent="0.55000000000000004">
      <c r="A13" s="5">
        <v>7</v>
      </c>
      <c r="B13" s="15">
        <f t="shared" si="0"/>
        <v>1227.7</v>
      </c>
      <c r="C13" s="17">
        <f t="shared" si="1"/>
        <v>48788.5</v>
      </c>
      <c r="D13" s="17">
        <f t="shared" si="3"/>
        <v>10291.5</v>
      </c>
      <c r="E13" s="17">
        <f t="shared" si="2"/>
        <v>27474.2</v>
      </c>
      <c r="F13" s="17">
        <f t="shared" si="4"/>
        <v>5585.7000000000007</v>
      </c>
    </row>
    <row r="14" spans="1:7" x14ac:dyDescent="0.55000000000000004">
      <c r="A14" s="5">
        <v>8</v>
      </c>
      <c r="B14" s="15">
        <f t="shared" si="0"/>
        <v>1543.3833333333334</v>
      </c>
      <c r="C14" s="17">
        <f t="shared" si="1"/>
        <v>60629.7</v>
      </c>
      <c r="D14" s="17">
        <f t="shared" si="3"/>
        <v>11841.199999999997</v>
      </c>
      <c r="E14" s="17">
        <f t="shared" si="2"/>
        <v>33834.800000000003</v>
      </c>
      <c r="F14" s="17">
        <f t="shared" si="4"/>
        <v>6360.6000000000022</v>
      </c>
    </row>
    <row r="15" spans="1:7" x14ac:dyDescent="0.55000000000000004">
      <c r="A15" s="5">
        <v>9</v>
      </c>
      <c r="B15" s="15">
        <f t="shared" si="0"/>
        <v>1909.9333333333334</v>
      </c>
      <c r="C15" s="17">
        <f t="shared" si="1"/>
        <v>74237.100000000006</v>
      </c>
      <c r="D15" s="17">
        <f t="shared" si="3"/>
        <v>13607.400000000009</v>
      </c>
      <c r="E15" s="17">
        <f t="shared" si="2"/>
        <v>41078.6</v>
      </c>
      <c r="F15" s="17">
        <f t="shared" si="4"/>
        <v>7243.7999999999956</v>
      </c>
    </row>
    <row r="16" spans="1:7" x14ac:dyDescent="0.55000000000000004">
      <c r="A16" s="5">
        <v>10</v>
      </c>
      <c r="B16" s="15">
        <f t="shared" si="0"/>
        <v>2334.3666666666668</v>
      </c>
      <c r="C16" s="17">
        <f t="shared" si="1"/>
        <v>89854.399999999994</v>
      </c>
      <c r="D16" s="17">
        <f t="shared" si="3"/>
        <v>15617.299999999988</v>
      </c>
      <c r="E16" s="17">
        <f t="shared" si="2"/>
        <v>49327.199999999997</v>
      </c>
      <c r="F16" s="17">
        <f t="shared" si="4"/>
        <v>8248.5999999999985</v>
      </c>
    </row>
    <row r="17" spans="1:7" x14ac:dyDescent="0.55000000000000004">
      <c r="A17" s="5">
        <v>11</v>
      </c>
      <c r="B17" s="15">
        <f t="shared" si="0"/>
        <v>2824.5833333333335</v>
      </c>
      <c r="C17" s="17">
        <f t="shared" si="1"/>
        <v>107755.8</v>
      </c>
      <c r="D17" s="17">
        <f t="shared" si="3"/>
        <v>17901.400000000009</v>
      </c>
      <c r="E17" s="17">
        <f t="shared" si="2"/>
        <v>58717.9</v>
      </c>
      <c r="F17" s="17">
        <f t="shared" si="4"/>
        <v>9390.7000000000044</v>
      </c>
    </row>
    <row r="18" spans="1:7" x14ac:dyDescent="0.55000000000000004">
      <c r="A18" s="5">
        <v>12</v>
      </c>
      <c r="B18" s="15">
        <f t="shared" si="0"/>
        <v>3389.5</v>
      </c>
      <c r="C18" s="17">
        <f t="shared" si="1"/>
        <v>128251</v>
      </c>
      <c r="D18" s="17">
        <f t="shared" si="3"/>
        <v>20495.199999999997</v>
      </c>
      <c r="E18" s="17">
        <f t="shared" si="2"/>
        <v>69405.5</v>
      </c>
      <c r="F18" s="17">
        <f t="shared" si="4"/>
        <v>10687.599999999999</v>
      </c>
    </row>
    <row r="19" spans="1:7" x14ac:dyDescent="0.55000000000000004">
      <c r="A19" s="5">
        <v>13</v>
      </c>
      <c r="B19" s="15">
        <f t="shared" si="0"/>
        <v>4039.15</v>
      </c>
      <c r="C19" s="17">
        <f t="shared" si="1"/>
        <v>151688.29999999999</v>
      </c>
      <c r="D19" s="17">
        <f t="shared" si="3"/>
        <v>23437.299999999988</v>
      </c>
      <c r="E19" s="17">
        <f t="shared" si="2"/>
        <v>81564.100000000006</v>
      </c>
      <c r="F19" s="17">
        <f t="shared" si="4"/>
        <v>12158.600000000006</v>
      </c>
    </row>
    <row r="20" spans="1:7" x14ac:dyDescent="0.55000000000000004">
      <c r="A20" s="5">
        <v>14</v>
      </c>
      <c r="B20" s="15">
        <f t="shared" si="0"/>
        <v>4784.8500000000004</v>
      </c>
      <c r="C20" s="17">
        <f t="shared" si="1"/>
        <v>178460.6</v>
      </c>
      <c r="D20" s="17">
        <f t="shared" si="3"/>
        <v>26772.300000000017</v>
      </c>
      <c r="E20" s="17">
        <f t="shared" si="2"/>
        <v>95390.3</v>
      </c>
      <c r="F20" s="17">
        <f t="shared" si="4"/>
        <v>13826.199999999997</v>
      </c>
    </row>
    <row r="21" spans="1:7" x14ac:dyDescent="0.55000000000000004">
      <c r="A21" s="5">
        <v>15</v>
      </c>
      <c r="B21" s="15">
        <f t="shared" si="0"/>
        <v>5639.2833333333338</v>
      </c>
      <c r="C21" s="17">
        <f t="shared" si="1"/>
        <v>209008.4</v>
      </c>
      <c r="D21" s="17">
        <f t="shared" si="3"/>
        <v>30547.799999999988</v>
      </c>
      <c r="E21" s="17">
        <f t="shared" si="2"/>
        <v>111104.2</v>
      </c>
      <c r="F21" s="17">
        <f t="shared" si="4"/>
        <v>15713.899999999994</v>
      </c>
    </row>
    <row r="22" spans="1:7" x14ac:dyDescent="0.55000000000000004">
      <c r="A22" s="5">
        <v>16</v>
      </c>
      <c r="B22" s="15">
        <f t="shared" si="0"/>
        <v>6616.7666666666664</v>
      </c>
      <c r="C22" s="17">
        <f t="shared" si="1"/>
        <v>243828.8</v>
      </c>
      <c r="D22" s="17">
        <f t="shared" si="3"/>
        <v>34820.399999999994</v>
      </c>
      <c r="E22" s="17">
        <f t="shared" si="2"/>
        <v>128954.4</v>
      </c>
      <c r="F22" s="17">
        <f t="shared" si="4"/>
        <v>17850.199999999997</v>
      </c>
    </row>
    <row r="23" spans="1:7" x14ac:dyDescent="0.55000000000000004">
      <c r="A23" s="5">
        <v>17</v>
      </c>
      <c r="B23" s="15">
        <f t="shared" si="0"/>
        <v>7733.333333333333</v>
      </c>
      <c r="C23" s="17">
        <f t="shared" si="1"/>
        <v>283478.5</v>
      </c>
      <c r="D23" s="17">
        <f t="shared" si="3"/>
        <v>39649.700000000012</v>
      </c>
      <c r="E23" s="17">
        <f t="shared" si="2"/>
        <v>149219.29999999999</v>
      </c>
      <c r="F23" s="17">
        <f t="shared" si="4"/>
        <v>20264.899999999994</v>
      </c>
    </row>
    <row r="24" spans="1:7" x14ac:dyDescent="0.55000000000000004">
      <c r="A24" s="5">
        <v>18</v>
      </c>
      <c r="B24" s="15">
        <f t="shared" si="0"/>
        <v>9007.0666666666675</v>
      </c>
      <c r="C24" s="17">
        <f t="shared" si="1"/>
        <v>328585.40000000002</v>
      </c>
      <c r="D24" s="17">
        <f t="shared" si="3"/>
        <v>45106.900000000023</v>
      </c>
      <c r="E24" s="17">
        <f t="shared" si="2"/>
        <v>172212.7</v>
      </c>
      <c r="F24" s="17">
        <f t="shared" si="4"/>
        <v>22993.400000000023</v>
      </c>
    </row>
    <row r="25" spans="1:7" x14ac:dyDescent="0.55000000000000004">
      <c r="A25" s="5">
        <v>19</v>
      </c>
      <c r="B25" s="15">
        <f t="shared" si="0"/>
        <v>10458.200000000001</v>
      </c>
      <c r="C25" s="17">
        <f t="shared" si="1"/>
        <v>379851.9</v>
      </c>
      <c r="D25" s="17">
        <f t="shared" si="3"/>
        <v>51266.5</v>
      </c>
      <c r="E25" s="17">
        <f t="shared" si="2"/>
        <v>198286</v>
      </c>
      <c r="F25" s="17">
        <f t="shared" si="4"/>
        <v>26073.299999999988</v>
      </c>
    </row>
    <row r="26" spans="1:7" x14ac:dyDescent="0.55000000000000004">
      <c r="A26" s="5">
        <v>20</v>
      </c>
      <c r="B26" s="15">
        <f t="shared" si="0"/>
        <v>12109.5</v>
      </c>
      <c r="C26" s="17">
        <f t="shared" si="1"/>
        <v>438068.8</v>
      </c>
      <c r="D26" s="17">
        <f t="shared" si="3"/>
        <v>58216.899999999965</v>
      </c>
      <c r="E26" s="17">
        <f t="shared" si="2"/>
        <v>227834.4</v>
      </c>
      <c r="F26" s="17">
        <f t="shared" si="4"/>
        <v>29548.399999999994</v>
      </c>
    </row>
    <row r="27" spans="1:7" x14ac:dyDescent="0.55000000000000004">
      <c r="A27" s="30" t="s">
        <v>141</v>
      </c>
      <c r="D27" s="25">
        <f>SUMPRODUCT(MAX((D6:D26&lt;=TOM_PRICE)*A6:A26))</f>
        <v>5</v>
      </c>
      <c r="F27" s="25">
        <f>SUMPRODUCT(MAX((F6:F26&lt;=TOM_PRICE)*A6:A26))</f>
        <v>10</v>
      </c>
    </row>
    <row r="29" spans="1:7" x14ac:dyDescent="0.55000000000000004">
      <c r="A29" s="29" t="s">
        <v>142</v>
      </c>
      <c r="B29" s="27"/>
      <c r="C29" s="27"/>
      <c r="D29" s="27"/>
      <c r="E29" s="27"/>
      <c r="F29" s="27"/>
      <c r="G29" s="27"/>
    </row>
    <row r="30" spans="1:7" x14ac:dyDescent="0.55000000000000004">
      <c r="A30" s="1" t="s">
        <v>135</v>
      </c>
      <c r="B30" s="1" t="s">
        <v>136</v>
      </c>
      <c r="C30" s="1" t="s">
        <v>137</v>
      </c>
      <c r="D30" s="1" t="s">
        <v>138</v>
      </c>
      <c r="E30" s="1" t="s">
        <v>139</v>
      </c>
      <c r="F30" s="1" t="s">
        <v>140</v>
      </c>
      <c r="G30" s="1"/>
    </row>
    <row r="31" spans="1:7" x14ac:dyDescent="0.55000000000000004">
      <c r="A31" s="5">
        <v>0</v>
      </c>
      <c r="B31" s="15">
        <f t="shared" ref="B31:B51" si="5">ROUND(A31*CAR_HRS*WEEKS*(1+CAR_DIM_PCT)^A31*60,0)/60</f>
        <v>0</v>
      </c>
      <c r="C31" s="17">
        <f t="shared" ref="C31:C51" si="6">ROUND(B31*FARMER_RATE+A31*CAR_FERT_COST,1)</f>
        <v>0</v>
      </c>
      <c r="D31" s="17">
        <v>0</v>
      </c>
      <c r="E31" s="17">
        <f t="shared" ref="E31:E51" si="7">ROUND(B31*TEMP_RATE+A31*CAR_FERT_COST,1)</f>
        <v>0</v>
      </c>
      <c r="F31" s="17">
        <v>0</v>
      </c>
    </row>
    <row r="32" spans="1:7" x14ac:dyDescent="0.55000000000000004">
      <c r="A32" s="5">
        <v>1</v>
      </c>
      <c r="B32" s="15">
        <f t="shared" si="5"/>
        <v>30.733333333333334</v>
      </c>
      <c r="C32" s="17">
        <f t="shared" si="6"/>
        <v>1507.1</v>
      </c>
      <c r="D32" s="17">
        <f t="shared" ref="D32:D51" si="8">C32-C31</f>
        <v>1507.1</v>
      </c>
      <c r="E32" s="17">
        <f t="shared" si="7"/>
        <v>973.6</v>
      </c>
      <c r="F32" s="17">
        <f t="shared" ref="F32:F51" si="9">E32-E31</f>
        <v>973.6</v>
      </c>
    </row>
    <row r="33" spans="1:6" x14ac:dyDescent="0.55000000000000004">
      <c r="A33" s="5">
        <v>2</v>
      </c>
      <c r="B33" s="15">
        <f t="shared" si="5"/>
        <v>63.016666666666666</v>
      </c>
      <c r="C33" s="17">
        <f t="shared" si="6"/>
        <v>3068.1</v>
      </c>
      <c r="D33" s="17">
        <f t="shared" si="8"/>
        <v>1561</v>
      </c>
      <c r="E33" s="17">
        <f t="shared" si="7"/>
        <v>1974</v>
      </c>
      <c r="F33" s="17">
        <f t="shared" si="9"/>
        <v>1000.4</v>
      </c>
    </row>
    <row r="34" spans="1:6" x14ac:dyDescent="0.55000000000000004">
      <c r="A34" s="5">
        <v>3</v>
      </c>
      <c r="B34" s="15">
        <f t="shared" si="5"/>
        <v>96.88333333333334</v>
      </c>
      <c r="C34" s="17">
        <f t="shared" si="6"/>
        <v>4684</v>
      </c>
      <c r="D34" s="17">
        <f t="shared" si="8"/>
        <v>1615.9</v>
      </c>
      <c r="E34" s="17">
        <f t="shared" si="7"/>
        <v>3002</v>
      </c>
      <c r="F34" s="17">
        <f t="shared" si="9"/>
        <v>1028</v>
      </c>
    </row>
    <row r="35" spans="1:6" x14ac:dyDescent="0.55000000000000004">
      <c r="A35" s="5">
        <v>4</v>
      </c>
      <c r="B35" s="15">
        <f t="shared" si="5"/>
        <v>132.4</v>
      </c>
      <c r="C35" s="17">
        <f t="shared" si="6"/>
        <v>6357.2</v>
      </c>
      <c r="D35" s="17">
        <f t="shared" si="8"/>
        <v>1673.1999999999998</v>
      </c>
      <c r="E35" s="17">
        <f t="shared" si="7"/>
        <v>4058.6</v>
      </c>
      <c r="F35" s="17">
        <f t="shared" si="9"/>
        <v>1056.5999999999999</v>
      </c>
    </row>
    <row r="36" spans="1:6" x14ac:dyDescent="0.55000000000000004">
      <c r="A36" s="5">
        <v>5</v>
      </c>
      <c r="B36" s="15">
        <f t="shared" si="5"/>
        <v>169.65</v>
      </c>
      <c r="C36" s="17">
        <f t="shared" si="6"/>
        <v>8090.6</v>
      </c>
      <c r="D36" s="17">
        <f t="shared" si="8"/>
        <v>1733.4000000000005</v>
      </c>
      <c r="E36" s="17">
        <f t="shared" si="7"/>
        <v>5145.3</v>
      </c>
      <c r="F36" s="17">
        <f t="shared" si="9"/>
        <v>1086.7000000000003</v>
      </c>
    </row>
    <row r="37" spans="1:6" x14ac:dyDescent="0.55000000000000004">
      <c r="A37" s="5">
        <v>6</v>
      </c>
      <c r="B37" s="15">
        <f t="shared" si="5"/>
        <v>208.66666666666666</v>
      </c>
      <c r="C37" s="17">
        <f t="shared" si="6"/>
        <v>9885.4</v>
      </c>
      <c r="D37" s="17">
        <f t="shared" si="8"/>
        <v>1794.7999999999993</v>
      </c>
      <c r="E37" s="17">
        <f t="shared" si="7"/>
        <v>6262.7</v>
      </c>
      <c r="F37" s="17">
        <f t="shared" si="9"/>
        <v>1117.3999999999996</v>
      </c>
    </row>
    <row r="38" spans="1:6" x14ac:dyDescent="0.55000000000000004">
      <c r="A38" s="5">
        <v>7</v>
      </c>
      <c r="B38" s="15">
        <f t="shared" si="5"/>
        <v>249.51666666666668</v>
      </c>
      <c r="C38" s="17">
        <f t="shared" si="6"/>
        <v>11743.8</v>
      </c>
      <c r="D38" s="17">
        <f t="shared" si="8"/>
        <v>1858.3999999999996</v>
      </c>
      <c r="E38" s="17">
        <f t="shared" si="7"/>
        <v>7411.9</v>
      </c>
      <c r="F38" s="17">
        <f t="shared" si="9"/>
        <v>1149.1999999999998</v>
      </c>
    </row>
    <row r="39" spans="1:6" x14ac:dyDescent="0.55000000000000004">
      <c r="A39" s="5">
        <v>8</v>
      </c>
      <c r="B39" s="15">
        <f t="shared" si="5"/>
        <v>292.3</v>
      </c>
      <c r="C39" s="17">
        <f t="shared" si="6"/>
        <v>13669.3</v>
      </c>
      <c r="D39" s="17">
        <f t="shared" si="8"/>
        <v>1925.5</v>
      </c>
      <c r="E39" s="17">
        <f t="shared" si="7"/>
        <v>8594.7000000000007</v>
      </c>
      <c r="F39" s="17">
        <f t="shared" si="9"/>
        <v>1182.8000000000011</v>
      </c>
    </row>
    <row r="40" spans="1:6" x14ac:dyDescent="0.55000000000000004">
      <c r="A40" s="5">
        <v>9</v>
      </c>
      <c r="B40" s="15">
        <f t="shared" si="5"/>
        <v>337.05</v>
      </c>
      <c r="C40" s="17">
        <f t="shared" si="6"/>
        <v>15663.1</v>
      </c>
      <c r="D40" s="17">
        <f t="shared" si="8"/>
        <v>1993.8000000000011</v>
      </c>
      <c r="E40" s="17">
        <f t="shared" si="7"/>
        <v>9811.6</v>
      </c>
      <c r="F40" s="17">
        <f t="shared" si="9"/>
        <v>1216.8999999999996</v>
      </c>
    </row>
    <row r="41" spans="1:6" x14ac:dyDescent="0.55000000000000004">
      <c r="A41" s="5">
        <v>10</v>
      </c>
      <c r="B41" s="15">
        <f t="shared" si="5"/>
        <v>383.86666666666667</v>
      </c>
      <c r="C41" s="17">
        <f t="shared" si="6"/>
        <v>17728.7</v>
      </c>
      <c r="D41" s="17">
        <f t="shared" si="8"/>
        <v>2065.6000000000004</v>
      </c>
      <c r="E41" s="17">
        <f t="shared" si="7"/>
        <v>11064.4</v>
      </c>
      <c r="F41" s="17">
        <f t="shared" si="9"/>
        <v>1252.7999999999993</v>
      </c>
    </row>
    <row r="42" spans="1:6" x14ac:dyDescent="0.55000000000000004">
      <c r="A42" s="5">
        <v>11</v>
      </c>
      <c r="B42" s="15">
        <f t="shared" si="5"/>
        <v>432.81666666666666</v>
      </c>
      <c r="C42" s="17">
        <f t="shared" si="6"/>
        <v>19868.400000000001</v>
      </c>
      <c r="D42" s="17">
        <f t="shared" si="8"/>
        <v>2139.7000000000007</v>
      </c>
      <c r="E42" s="17">
        <f t="shared" si="7"/>
        <v>12354.2</v>
      </c>
      <c r="F42" s="17">
        <f t="shared" si="9"/>
        <v>1289.8000000000011</v>
      </c>
    </row>
    <row r="43" spans="1:6" x14ac:dyDescent="0.55000000000000004">
      <c r="A43" s="5">
        <v>12</v>
      </c>
      <c r="B43" s="15">
        <f t="shared" si="5"/>
        <v>483.96666666666664</v>
      </c>
      <c r="C43" s="17">
        <f t="shared" si="6"/>
        <v>22084.400000000001</v>
      </c>
      <c r="D43" s="17">
        <f t="shared" si="8"/>
        <v>2216</v>
      </c>
      <c r="E43" s="17">
        <f t="shared" si="7"/>
        <v>13682.2</v>
      </c>
      <c r="F43" s="17">
        <f t="shared" si="9"/>
        <v>1328</v>
      </c>
    </row>
    <row r="44" spans="1:6" x14ac:dyDescent="0.55000000000000004">
      <c r="A44" s="5">
        <v>13</v>
      </c>
      <c r="B44" s="15">
        <f t="shared" si="5"/>
        <v>537.4</v>
      </c>
      <c r="C44" s="17">
        <f t="shared" si="6"/>
        <v>24379.7</v>
      </c>
      <c r="D44" s="17">
        <f t="shared" si="8"/>
        <v>2295.2999999999993</v>
      </c>
      <c r="E44" s="17">
        <f t="shared" si="7"/>
        <v>15049.9</v>
      </c>
      <c r="F44" s="17">
        <f t="shared" si="9"/>
        <v>1367.6999999999989</v>
      </c>
    </row>
    <row r="45" spans="1:6" x14ac:dyDescent="0.55000000000000004">
      <c r="A45" s="5">
        <v>14</v>
      </c>
      <c r="B45" s="15">
        <f t="shared" si="5"/>
        <v>593.2166666666667</v>
      </c>
      <c r="C45" s="17">
        <f t="shared" si="6"/>
        <v>26757.8</v>
      </c>
      <c r="D45" s="17">
        <f t="shared" si="8"/>
        <v>2378.0999999999985</v>
      </c>
      <c r="E45" s="17">
        <f t="shared" si="7"/>
        <v>16458.900000000001</v>
      </c>
      <c r="F45" s="17">
        <f t="shared" si="9"/>
        <v>1409.0000000000018</v>
      </c>
    </row>
    <row r="46" spans="1:6" x14ac:dyDescent="0.55000000000000004">
      <c r="A46" s="5">
        <v>15</v>
      </c>
      <c r="B46" s="15">
        <f t="shared" si="5"/>
        <v>651.4666666666667</v>
      </c>
      <c r="C46" s="17">
        <f t="shared" si="6"/>
        <v>29220.400000000001</v>
      </c>
      <c r="D46" s="17">
        <f t="shared" si="8"/>
        <v>2462.6000000000022</v>
      </c>
      <c r="E46" s="17">
        <f t="shared" si="7"/>
        <v>17910.2</v>
      </c>
      <c r="F46" s="17">
        <f t="shared" si="9"/>
        <v>1451.2999999999993</v>
      </c>
    </row>
    <row r="47" spans="1:6" x14ac:dyDescent="0.55000000000000004">
      <c r="A47" s="5">
        <v>16</v>
      </c>
      <c r="B47" s="15">
        <f t="shared" si="5"/>
        <v>712.2833333333333</v>
      </c>
      <c r="C47" s="17">
        <f t="shared" si="6"/>
        <v>31772.1</v>
      </c>
      <c r="D47" s="17">
        <f t="shared" si="8"/>
        <v>2551.6999999999971</v>
      </c>
      <c r="E47" s="17">
        <f t="shared" si="7"/>
        <v>19406</v>
      </c>
      <c r="F47" s="17">
        <f t="shared" si="9"/>
        <v>1495.7999999999993</v>
      </c>
    </row>
    <row r="48" spans="1:6" x14ac:dyDescent="0.55000000000000004">
      <c r="A48" s="5">
        <v>17</v>
      </c>
      <c r="B48" s="15">
        <f t="shared" si="5"/>
        <v>775.7166666666667</v>
      </c>
      <c r="C48" s="17">
        <f t="shared" si="6"/>
        <v>34414.6</v>
      </c>
      <c r="D48" s="17">
        <f t="shared" si="8"/>
        <v>2642.5</v>
      </c>
      <c r="E48" s="17">
        <f t="shared" si="7"/>
        <v>20947.3</v>
      </c>
      <c r="F48" s="17">
        <f t="shared" si="9"/>
        <v>1541.2999999999993</v>
      </c>
    </row>
    <row r="49" spans="1:7" x14ac:dyDescent="0.55000000000000004">
      <c r="A49" s="5">
        <v>18</v>
      </c>
      <c r="B49" s="15">
        <f t="shared" si="5"/>
        <v>841.88333333333333</v>
      </c>
      <c r="C49" s="17">
        <f t="shared" si="6"/>
        <v>37152.1</v>
      </c>
      <c r="D49" s="17">
        <f t="shared" si="8"/>
        <v>2737.5</v>
      </c>
      <c r="E49" s="17">
        <f t="shared" si="7"/>
        <v>22536</v>
      </c>
      <c r="F49" s="17">
        <f t="shared" si="9"/>
        <v>1588.7000000000007</v>
      </c>
    </row>
    <row r="50" spans="1:7" x14ac:dyDescent="0.55000000000000004">
      <c r="A50" s="5">
        <v>19</v>
      </c>
      <c r="B50" s="15">
        <f t="shared" si="5"/>
        <v>910.86666666666667</v>
      </c>
      <c r="C50" s="17">
        <f t="shared" si="6"/>
        <v>39987.300000000003</v>
      </c>
      <c r="D50" s="17">
        <f t="shared" si="8"/>
        <v>2835.2000000000044</v>
      </c>
      <c r="E50" s="17">
        <f t="shared" si="7"/>
        <v>24173.7</v>
      </c>
      <c r="F50" s="17">
        <f t="shared" si="9"/>
        <v>1637.7000000000007</v>
      </c>
    </row>
    <row r="51" spans="1:7" x14ac:dyDescent="0.55000000000000004">
      <c r="A51" s="5">
        <v>20</v>
      </c>
      <c r="B51" s="15">
        <f t="shared" si="5"/>
        <v>982.7833333333333</v>
      </c>
      <c r="C51" s="17">
        <f t="shared" si="6"/>
        <v>42924.4</v>
      </c>
      <c r="D51" s="17">
        <f t="shared" si="8"/>
        <v>2937.0999999999985</v>
      </c>
      <c r="E51" s="17">
        <f t="shared" si="7"/>
        <v>25862.2</v>
      </c>
      <c r="F51" s="17">
        <f t="shared" si="9"/>
        <v>1688.5</v>
      </c>
    </row>
    <row r="52" spans="1:7" x14ac:dyDescent="0.55000000000000004">
      <c r="A52" s="30" t="s">
        <v>141</v>
      </c>
      <c r="D52" s="25">
        <f>SUMPRODUCT(MAX((D31:D51&lt;=CAR_PRICE)*A31:A51))</f>
        <v>10</v>
      </c>
      <c r="F52" s="25">
        <f>SUMPRODUCT(MAX((F31:F51&lt;=CAR_PRICE)*A31:A51))</f>
        <v>20</v>
      </c>
    </row>
    <row r="54" spans="1:7" x14ac:dyDescent="0.55000000000000004">
      <c r="A54" s="29" t="s">
        <v>143</v>
      </c>
      <c r="B54" s="27"/>
      <c r="C54" s="27"/>
      <c r="D54" s="27"/>
      <c r="E54" s="27"/>
      <c r="F54" s="27"/>
      <c r="G54" s="27"/>
    </row>
    <row r="55" spans="1:7" x14ac:dyDescent="0.55000000000000004">
      <c r="A55" s="1" t="s">
        <v>135</v>
      </c>
      <c r="B55" s="1" t="s">
        <v>136</v>
      </c>
      <c r="C55" s="1" t="s">
        <v>137</v>
      </c>
      <c r="D55" s="1" t="s">
        <v>138</v>
      </c>
      <c r="E55" s="1" t="s">
        <v>139</v>
      </c>
      <c r="F55" s="1" t="s">
        <v>140</v>
      </c>
      <c r="G55" s="1"/>
    </row>
    <row r="56" spans="1:7" x14ac:dyDescent="0.55000000000000004">
      <c r="A56" s="5">
        <v>0</v>
      </c>
      <c r="B56" s="15">
        <f t="shared" ref="B56:B86" si="10">ROUND(A56*MES_HRS*WEEKS*(1+MES_DIM_PCT)^A56*60,0)/60</f>
        <v>0</v>
      </c>
      <c r="C56" s="17">
        <f t="shared" ref="C56:C86" si="11">ROUND(B56*FARMER_RATE+A56*MES_FERT_COST,1)</f>
        <v>0</v>
      </c>
      <c r="D56" s="17">
        <v>0</v>
      </c>
      <c r="E56" s="17">
        <f t="shared" ref="E56:E86" si="12">ROUND(B56*TEMP_RATE+A56*MES_FERT_COST,1)</f>
        <v>0</v>
      </c>
      <c r="F56" s="17">
        <v>0</v>
      </c>
    </row>
    <row r="57" spans="1:7" x14ac:dyDescent="0.55000000000000004">
      <c r="A57" s="5">
        <v>1</v>
      </c>
      <c r="B57" s="15">
        <f t="shared" si="10"/>
        <v>45.56666666666667</v>
      </c>
      <c r="C57" s="17">
        <f t="shared" si="11"/>
        <v>2462.1999999999998</v>
      </c>
      <c r="D57" s="17">
        <f t="shared" ref="D57:D86" si="13">C57-C56</f>
        <v>2462.1999999999998</v>
      </c>
      <c r="E57" s="17">
        <f t="shared" si="12"/>
        <v>1671.1</v>
      </c>
      <c r="F57" s="17">
        <f t="shared" ref="F57:F86" si="14">E57-E56</f>
        <v>1671.1</v>
      </c>
    </row>
    <row r="58" spans="1:7" x14ac:dyDescent="0.55000000000000004">
      <c r="A58" s="5">
        <v>2</v>
      </c>
      <c r="B58" s="15">
        <f t="shared" si="10"/>
        <v>92.266666666666666</v>
      </c>
      <c r="C58" s="17">
        <f t="shared" si="11"/>
        <v>4963.7</v>
      </c>
      <c r="D58" s="17">
        <f t="shared" si="13"/>
        <v>2501.5</v>
      </c>
      <c r="E58" s="17">
        <f t="shared" si="12"/>
        <v>3361.9</v>
      </c>
      <c r="F58" s="17">
        <f t="shared" si="14"/>
        <v>1690.8000000000002</v>
      </c>
    </row>
    <row r="59" spans="1:7" x14ac:dyDescent="0.55000000000000004">
      <c r="A59" s="5">
        <v>3</v>
      </c>
      <c r="B59" s="15">
        <f t="shared" si="10"/>
        <v>140.13333333333333</v>
      </c>
      <c r="C59" s="17">
        <f t="shared" si="11"/>
        <v>7505.7</v>
      </c>
      <c r="D59" s="17">
        <f t="shared" si="13"/>
        <v>2542</v>
      </c>
      <c r="E59" s="17">
        <f t="shared" si="12"/>
        <v>5072.8999999999996</v>
      </c>
      <c r="F59" s="17">
        <f t="shared" si="14"/>
        <v>1710.9999999999995</v>
      </c>
    </row>
    <row r="60" spans="1:7" x14ac:dyDescent="0.55000000000000004">
      <c r="A60" s="5">
        <v>4</v>
      </c>
      <c r="B60" s="15">
        <f t="shared" si="10"/>
        <v>189.16666666666666</v>
      </c>
      <c r="C60" s="17">
        <f t="shared" si="11"/>
        <v>10088.299999999999</v>
      </c>
      <c r="D60" s="17">
        <f t="shared" si="13"/>
        <v>2582.5999999999995</v>
      </c>
      <c r="E60" s="17">
        <f t="shared" si="12"/>
        <v>6804.1</v>
      </c>
      <c r="F60" s="17">
        <f t="shared" si="14"/>
        <v>1731.2000000000007</v>
      </c>
    </row>
    <row r="61" spans="1:7" x14ac:dyDescent="0.55000000000000004">
      <c r="A61" s="5">
        <v>5</v>
      </c>
      <c r="B61" s="15">
        <f t="shared" si="10"/>
        <v>239.41666666666666</v>
      </c>
      <c r="C61" s="17">
        <f t="shared" si="11"/>
        <v>12713.1</v>
      </c>
      <c r="D61" s="17">
        <f t="shared" si="13"/>
        <v>2624.8000000000011</v>
      </c>
      <c r="E61" s="17">
        <f t="shared" si="12"/>
        <v>8556.5</v>
      </c>
      <c r="F61" s="17">
        <f t="shared" si="14"/>
        <v>1752.3999999999996</v>
      </c>
    </row>
    <row r="62" spans="1:7" x14ac:dyDescent="0.55000000000000004">
      <c r="A62" s="5">
        <v>6</v>
      </c>
      <c r="B62" s="15">
        <f t="shared" si="10"/>
        <v>290.89999999999998</v>
      </c>
      <c r="C62" s="17">
        <f t="shared" si="11"/>
        <v>15380.7</v>
      </c>
      <c r="D62" s="17">
        <f t="shared" si="13"/>
        <v>2667.6000000000004</v>
      </c>
      <c r="E62" s="17">
        <f t="shared" si="12"/>
        <v>10330.299999999999</v>
      </c>
      <c r="F62" s="17">
        <f t="shared" si="14"/>
        <v>1773.7999999999993</v>
      </c>
    </row>
    <row r="63" spans="1:7" x14ac:dyDescent="0.55000000000000004">
      <c r="A63" s="5">
        <v>7</v>
      </c>
      <c r="B63" s="15">
        <f t="shared" si="10"/>
        <v>343.61666666666667</v>
      </c>
      <c r="C63" s="17">
        <f t="shared" si="11"/>
        <v>18091.099999999999</v>
      </c>
      <c r="D63" s="17">
        <f t="shared" si="13"/>
        <v>2710.3999999999978</v>
      </c>
      <c r="E63" s="17">
        <f t="shared" si="12"/>
        <v>12125.6</v>
      </c>
      <c r="F63" s="17">
        <f t="shared" si="14"/>
        <v>1795.3000000000011</v>
      </c>
    </row>
    <row r="64" spans="1:7" x14ac:dyDescent="0.55000000000000004">
      <c r="A64" s="5">
        <v>8</v>
      </c>
      <c r="B64" s="15">
        <f t="shared" si="10"/>
        <v>397.61666666666667</v>
      </c>
      <c r="C64" s="17">
        <f t="shared" si="11"/>
        <v>20846.099999999999</v>
      </c>
      <c r="D64" s="17">
        <f t="shared" si="13"/>
        <v>2755</v>
      </c>
      <c r="E64" s="17">
        <f t="shared" si="12"/>
        <v>13943.1</v>
      </c>
      <c r="F64" s="17">
        <f t="shared" si="14"/>
        <v>1817.5</v>
      </c>
    </row>
    <row r="65" spans="1:6" x14ac:dyDescent="0.55000000000000004">
      <c r="A65" s="5">
        <v>9</v>
      </c>
      <c r="B65" s="15">
        <f t="shared" si="10"/>
        <v>452.9</v>
      </c>
      <c r="C65" s="17">
        <f t="shared" si="11"/>
        <v>23645.7</v>
      </c>
      <c r="D65" s="17">
        <f t="shared" si="13"/>
        <v>2799.6000000000022</v>
      </c>
      <c r="E65" s="17">
        <f t="shared" si="12"/>
        <v>15782.8</v>
      </c>
      <c r="F65" s="17">
        <f t="shared" si="14"/>
        <v>1839.6999999999989</v>
      </c>
    </row>
    <row r="66" spans="1:6" x14ac:dyDescent="0.55000000000000004">
      <c r="A66" s="5">
        <v>10</v>
      </c>
      <c r="B66" s="15">
        <f t="shared" si="10"/>
        <v>509.51666666666665</v>
      </c>
      <c r="C66" s="17">
        <f t="shared" si="11"/>
        <v>26491.599999999999</v>
      </c>
      <c r="D66" s="17">
        <f t="shared" si="13"/>
        <v>2845.8999999999978</v>
      </c>
      <c r="E66" s="17">
        <f t="shared" si="12"/>
        <v>17645.8</v>
      </c>
      <c r="F66" s="17">
        <f t="shared" si="14"/>
        <v>1863</v>
      </c>
    </row>
    <row r="67" spans="1:6" x14ac:dyDescent="0.55000000000000004">
      <c r="A67" s="5">
        <v>11</v>
      </c>
      <c r="B67" s="15">
        <f t="shared" si="10"/>
        <v>567.48333333333335</v>
      </c>
      <c r="C67" s="17">
        <f t="shared" si="11"/>
        <v>29384.3</v>
      </c>
      <c r="D67" s="17">
        <f t="shared" si="13"/>
        <v>2892.7000000000007</v>
      </c>
      <c r="E67" s="17">
        <f t="shared" si="12"/>
        <v>19532.099999999999</v>
      </c>
      <c r="F67" s="17">
        <f t="shared" si="14"/>
        <v>1886.2999999999993</v>
      </c>
    </row>
    <row r="68" spans="1:6" x14ac:dyDescent="0.55000000000000004">
      <c r="A68" s="5">
        <v>12</v>
      </c>
      <c r="B68" s="15">
        <f t="shared" si="10"/>
        <v>626.79999999999995</v>
      </c>
      <c r="C68" s="17">
        <f t="shared" si="11"/>
        <v>32323.9</v>
      </c>
      <c r="D68" s="17">
        <f t="shared" si="13"/>
        <v>2939.6000000000022</v>
      </c>
      <c r="E68" s="17">
        <f t="shared" si="12"/>
        <v>21441.9</v>
      </c>
      <c r="F68" s="17">
        <f t="shared" si="14"/>
        <v>1909.8000000000029</v>
      </c>
    </row>
    <row r="69" spans="1:6" x14ac:dyDescent="0.55000000000000004">
      <c r="A69" s="5">
        <v>13</v>
      </c>
      <c r="B69" s="15">
        <f t="shared" si="10"/>
        <v>687.5333333333333</v>
      </c>
      <c r="C69" s="17">
        <f t="shared" si="11"/>
        <v>35312.699999999997</v>
      </c>
      <c r="D69" s="17">
        <f t="shared" si="13"/>
        <v>2988.7999999999956</v>
      </c>
      <c r="E69" s="17">
        <f t="shared" si="12"/>
        <v>23376.3</v>
      </c>
      <c r="F69" s="17">
        <f t="shared" si="14"/>
        <v>1934.3999999999978</v>
      </c>
    </row>
    <row r="70" spans="1:6" x14ac:dyDescent="0.55000000000000004">
      <c r="A70" s="5">
        <v>14</v>
      </c>
      <c r="B70" s="15">
        <f t="shared" si="10"/>
        <v>749.66666666666663</v>
      </c>
      <c r="C70" s="17">
        <f t="shared" si="11"/>
        <v>38350.1</v>
      </c>
      <c r="D70" s="17">
        <f t="shared" si="13"/>
        <v>3037.4000000000015</v>
      </c>
      <c r="E70" s="17">
        <f t="shared" si="12"/>
        <v>25335</v>
      </c>
      <c r="F70" s="17">
        <f t="shared" si="14"/>
        <v>1958.7000000000007</v>
      </c>
    </row>
    <row r="71" spans="1:6" x14ac:dyDescent="0.55000000000000004">
      <c r="A71" s="5">
        <v>15</v>
      </c>
      <c r="B71" s="15">
        <f t="shared" si="10"/>
        <v>813.26666666666665</v>
      </c>
      <c r="C71" s="17">
        <f t="shared" si="11"/>
        <v>41438.400000000001</v>
      </c>
      <c r="D71" s="17">
        <f t="shared" si="13"/>
        <v>3088.3000000000029</v>
      </c>
      <c r="E71" s="17">
        <f t="shared" si="12"/>
        <v>27319.200000000001</v>
      </c>
      <c r="F71" s="17">
        <f t="shared" si="14"/>
        <v>1984.2000000000007</v>
      </c>
    </row>
    <row r="72" spans="1:6" x14ac:dyDescent="0.55000000000000004">
      <c r="A72" s="5">
        <v>16</v>
      </c>
      <c r="B72" s="15">
        <f t="shared" si="10"/>
        <v>878.31666666666672</v>
      </c>
      <c r="C72" s="17">
        <f t="shared" si="11"/>
        <v>44577.1</v>
      </c>
      <c r="D72" s="17">
        <f t="shared" si="13"/>
        <v>3138.6999999999971</v>
      </c>
      <c r="E72" s="17">
        <f t="shared" si="12"/>
        <v>29328.6</v>
      </c>
      <c r="F72" s="17">
        <f t="shared" si="14"/>
        <v>2009.3999999999978</v>
      </c>
    </row>
    <row r="73" spans="1:6" x14ac:dyDescent="0.55000000000000004">
      <c r="A73" s="5">
        <v>17</v>
      </c>
      <c r="B73" s="15">
        <f t="shared" si="10"/>
        <v>944.88333333333333</v>
      </c>
      <c r="C73" s="17">
        <f t="shared" si="11"/>
        <v>47768.4</v>
      </c>
      <c r="D73" s="17">
        <f t="shared" si="13"/>
        <v>3191.3000000000029</v>
      </c>
      <c r="E73" s="17">
        <f t="shared" si="12"/>
        <v>31364.2</v>
      </c>
      <c r="F73" s="17">
        <f t="shared" si="14"/>
        <v>2035.6000000000022</v>
      </c>
    </row>
    <row r="74" spans="1:6" x14ac:dyDescent="0.55000000000000004">
      <c r="A74" s="5">
        <v>18</v>
      </c>
      <c r="B74" s="15">
        <f t="shared" si="10"/>
        <v>1012.9666666666667</v>
      </c>
      <c r="C74" s="17">
        <f t="shared" si="11"/>
        <v>51012.5</v>
      </c>
      <c r="D74" s="17">
        <f t="shared" si="13"/>
        <v>3244.0999999999985</v>
      </c>
      <c r="E74" s="17">
        <f t="shared" si="12"/>
        <v>33426.199999999997</v>
      </c>
      <c r="F74" s="17">
        <f t="shared" si="14"/>
        <v>2061.9999999999964</v>
      </c>
    </row>
    <row r="75" spans="1:6" x14ac:dyDescent="0.55000000000000004">
      <c r="A75" s="5">
        <v>19</v>
      </c>
      <c r="B75" s="15">
        <f t="shared" si="10"/>
        <v>1082.6166666666666</v>
      </c>
      <c r="C75" s="17">
        <f t="shared" si="11"/>
        <v>54310.9</v>
      </c>
      <c r="D75" s="17">
        <f t="shared" si="13"/>
        <v>3298.4000000000015</v>
      </c>
      <c r="E75" s="17">
        <f t="shared" si="12"/>
        <v>35515.4</v>
      </c>
      <c r="F75" s="17">
        <f t="shared" si="14"/>
        <v>2089.2000000000044</v>
      </c>
    </row>
    <row r="76" spans="1:6" x14ac:dyDescent="0.55000000000000004">
      <c r="A76" s="5">
        <v>20</v>
      </c>
      <c r="B76" s="15">
        <f t="shared" si="10"/>
        <v>1153.8333333333333</v>
      </c>
      <c r="C76" s="17">
        <f t="shared" si="11"/>
        <v>57663.7</v>
      </c>
      <c r="D76" s="17">
        <f t="shared" si="13"/>
        <v>3352.7999999999956</v>
      </c>
      <c r="E76" s="17">
        <f t="shared" si="12"/>
        <v>37631.800000000003</v>
      </c>
      <c r="F76" s="17">
        <f t="shared" si="14"/>
        <v>2116.4000000000015</v>
      </c>
    </row>
    <row r="77" spans="1:6" x14ac:dyDescent="0.55000000000000004">
      <c r="A77" s="5">
        <v>21</v>
      </c>
      <c r="B77" s="15">
        <f t="shared" si="10"/>
        <v>1226.6666666666667</v>
      </c>
      <c r="C77" s="17">
        <f t="shared" si="11"/>
        <v>61072.6</v>
      </c>
      <c r="D77" s="17">
        <f t="shared" si="13"/>
        <v>3408.9000000000015</v>
      </c>
      <c r="E77" s="17">
        <f t="shared" si="12"/>
        <v>39776.300000000003</v>
      </c>
      <c r="F77" s="17">
        <f t="shared" si="14"/>
        <v>2144.5</v>
      </c>
    </row>
    <row r="78" spans="1:6" x14ac:dyDescent="0.55000000000000004">
      <c r="A78" s="5">
        <v>22</v>
      </c>
      <c r="B78" s="15">
        <f t="shared" si="10"/>
        <v>1301.1500000000001</v>
      </c>
      <c r="C78" s="17">
        <f t="shared" si="11"/>
        <v>64538.8</v>
      </c>
      <c r="D78" s="17">
        <f t="shared" si="13"/>
        <v>3466.2000000000044</v>
      </c>
      <c r="E78" s="17">
        <f t="shared" si="12"/>
        <v>41949.4</v>
      </c>
      <c r="F78" s="17">
        <f t="shared" si="14"/>
        <v>2173.0999999999985</v>
      </c>
    </row>
    <row r="79" spans="1:6" x14ac:dyDescent="0.55000000000000004">
      <c r="A79" s="5">
        <v>23</v>
      </c>
      <c r="B79" s="15">
        <f t="shared" si="10"/>
        <v>1377.3</v>
      </c>
      <c r="C79" s="17">
        <f t="shared" si="11"/>
        <v>68062.899999999994</v>
      </c>
      <c r="D79" s="17">
        <f t="shared" si="13"/>
        <v>3524.0999999999913</v>
      </c>
      <c r="E79" s="17">
        <f t="shared" si="12"/>
        <v>44151.5</v>
      </c>
      <c r="F79" s="17">
        <f t="shared" si="14"/>
        <v>2202.0999999999985</v>
      </c>
    </row>
    <row r="80" spans="1:6" x14ac:dyDescent="0.55000000000000004">
      <c r="A80" s="5">
        <v>24</v>
      </c>
      <c r="B80" s="15">
        <f t="shared" si="10"/>
        <v>1455.1333333333334</v>
      </c>
      <c r="C80" s="17">
        <f t="shared" si="11"/>
        <v>71645.5</v>
      </c>
      <c r="D80" s="17">
        <f t="shared" si="13"/>
        <v>3582.6000000000058</v>
      </c>
      <c r="E80" s="17">
        <f t="shared" si="12"/>
        <v>46382.7</v>
      </c>
      <c r="F80" s="17">
        <f t="shared" si="14"/>
        <v>2231.1999999999971</v>
      </c>
    </row>
    <row r="81" spans="1:6" x14ac:dyDescent="0.55000000000000004">
      <c r="A81" s="5">
        <v>25</v>
      </c>
      <c r="B81" s="15">
        <f t="shared" si="10"/>
        <v>1534.7166666666667</v>
      </c>
      <c r="C81" s="17">
        <f t="shared" si="11"/>
        <v>75288.800000000003</v>
      </c>
      <c r="D81" s="17">
        <f t="shared" si="13"/>
        <v>3643.3000000000029</v>
      </c>
      <c r="E81" s="17">
        <f t="shared" si="12"/>
        <v>48644.4</v>
      </c>
      <c r="F81" s="17">
        <f t="shared" si="14"/>
        <v>2261.7000000000044</v>
      </c>
    </row>
    <row r="82" spans="1:6" x14ac:dyDescent="0.55000000000000004">
      <c r="A82" s="5">
        <v>26</v>
      </c>
      <c r="B82" s="15">
        <f t="shared" si="10"/>
        <v>1616.05</v>
      </c>
      <c r="C82" s="17">
        <f t="shared" si="11"/>
        <v>78992.800000000003</v>
      </c>
      <c r="D82" s="17">
        <f t="shared" si="13"/>
        <v>3704</v>
      </c>
      <c r="E82" s="17">
        <f t="shared" si="12"/>
        <v>50936.4</v>
      </c>
      <c r="F82" s="17">
        <f t="shared" si="14"/>
        <v>2292</v>
      </c>
    </row>
    <row r="83" spans="1:6" x14ac:dyDescent="0.55000000000000004">
      <c r="A83" s="5">
        <v>27</v>
      </c>
      <c r="B83" s="15">
        <f t="shared" si="10"/>
        <v>1699.1833333333334</v>
      </c>
      <c r="C83" s="17">
        <f t="shared" si="11"/>
        <v>82759.399999999994</v>
      </c>
      <c r="D83" s="17">
        <f t="shared" si="13"/>
        <v>3766.5999999999913</v>
      </c>
      <c r="E83" s="17">
        <f t="shared" si="12"/>
        <v>53259.7</v>
      </c>
      <c r="F83" s="17">
        <f t="shared" si="14"/>
        <v>2323.2999999999956</v>
      </c>
    </row>
    <row r="84" spans="1:6" x14ac:dyDescent="0.55000000000000004">
      <c r="A84" s="5">
        <v>28</v>
      </c>
      <c r="B84" s="15">
        <f t="shared" si="10"/>
        <v>1784.15</v>
      </c>
      <c r="C84" s="17">
        <f t="shared" si="11"/>
        <v>86589.7</v>
      </c>
      <c r="D84" s="17">
        <f t="shared" si="13"/>
        <v>3830.3000000000029</v>
      </c>
      <c r="E84" s="17">
        <f t="shared" si="12"/>
        <v>55614.8</v>
      </c>
      <c r="F84" s="17">
        <f t="shared" si="14"/>
        <v>2355.1000000000058</v>
      </c>
    </row>
    <row r="85" spans="1:6" x14ac:dyDescent="0.55000000000000004">
      <c r="A85" s="5">
        <v>29</v>
      </c>
      <c r="B85" s="15">
        <f t="shared" si="10"/>
        <v>1870.9666666666667</v>
      </c>
      <c r="C85" s="17">
        <f t="shared" si="11"/>
        <v>90484.1</v>
      </c>
      <c r="D85" s="17">
        <f t="shared" si="13"/>
        <v>3894.4000000000087</v>
      </c>
      <c r="E85" s="17">
        <f t="shared" si="12"/>
        <v>58002.1</v>
      </c>
      <c r="F85" s="17">
        <f t="shared" si="14"/>
        <v>2387.2999999999956</v>
      </c>
    </row>
    <row r="86" spans="1:6" x14ac:dyDescent="0.55000000000000004">
      <c r="A86" s="5">
        <v>30</v>
      </c>
      <c r="B86" s="15">
        <f t="shared" si="10"/>
        <v>1959.6833333333334</v>
      </c>
      <c r="C86" s="17">
        <f t="shared" si="11"/>
        <v>94444.6</v>
      </c>
      <c r="D86" s="17">
        <f t="shared" si="13"/>
        <v>3960.5</v>
      </c>
      <c r="E86" s="17">
        <f t="shared" si="12"/>
        <v>60422.3</v>
      </c>
      <c r="F86" s="17">
        <f t="shared" si="14"/>
        <v>2420.2000000000044</v>
      </c>
    </row>
    <row r="87" spans="1:6" x14ac:dyDescent="0.55000000000000004">
      <c r="A87" s="30" t="s">
        <v>141</v>
      </c>
      <c r="D87" s="25">
        <f>SUMPRODUCT(MAX((D56:D86&lt;=MES_PRICE)*A56:A86))</f>
        <v>6</v>
      </c>
      <c r="F87" s="25">
        <f>SUMPRODUCT(MAX((F56:F86&lt;=MES_PRICE)*A56:A86))</f>
        <v>30</v>
      </c>
    </row>
  </sheetData>
  <mergeCells count="8">
    <mergeCell ref="A27"/>
    <mergeCell ref="A1:G1"/>
    <mergeCell ref="A87"/>
    <mergeCell ref="A4:G4"/>
    <mergeCell ref="A2:G2"/>
    <mergeCell ref="A52"/>
    <mergeCell ref="A29:G29"/>
    <mergeCell ref="A54:G5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4" x14ac:dyDescent="0.55000000000000004"/>
  <cols>
    <col min="1" max="1" width="30" customWidth="1"/>
    <col min="2" max="2" width="80" customWidth="1"/>
  </cols>
  <sheetData>
    <row r="1" spans="1:2" x14ac:dyDescent="0.55000000000000004">
      <c r="A1" s="24" t="s">
        <v>144</v>
      </c>
      <c r="B1" s="13"/>
    </row>
    <row r="2" spans="1:2" x14ac:dyDescent="0.55000000000000004">
      <c r="A2" s="13"/>
      <c r="B2" s="13"/>
    </row>
    <row r="3" spans="1:2" x14ac:dyDescent="0.55000000000000004">
      <c r="A3" s="24" t="s">
        <v>145</v>
      </c>
      <c r="B3" s="13" t="s">
        <v>146</v>
      </c>
    </row>
    <row r="4" spans="1:2" x14ac:dyDescent="0.55000000000000004">
      <c r="A4" s="13" t="s">
        <v>147</v>
      </c>
      <c r="B4" s="13" t="s">
        <v>148</v>
      </c>
    </row>
    <row r="5" spans="1:2" x14ac:dyDescent="0.55000000000000004">
      <c r="A5" s="24" t="s">
        <v>149</v>
      </c>
      <c r="B5" s="13" t="s">
        <v>150</v>
      </c>
    </row>
    <row r="6" spans="1:2" x14ac:dyDescent="0.55000000000000004">
      <c r="A6" s="13"/>
      <c r="B6" s="13"/>
    </row>
    <row r="7" spans="1:2" x14ac:dyDescent="0.55000000000000004">
      <c r="A7" s="24" t="s">
        <v>151</v>
      </c>
      <c r="B7" s="13"/>
    </row>
    <row r="8" spans="1:2" x14ac:dyDescent="0.55000000000000004">
      <c r="A8" s="13" t="s">
        <v>152</v>
      </c>
      <c r="B8" s="13" t="s">
        <v>87</v>
      </c>
    </row>
    <row r="9" spans="1:2" x14ac:dyDescent="0.55000000000000004">
      <c r="A9" s="13" t="s">
        <v>153</v>
      </c>
      <c r="B9" s="13" t="s">
        <v>89</v>
      </c>
    </row>
    <row r="10" spans="1:2" x14ac:dyDescent="0.55000000000000004">
      <c r="A10" s="13" t="s">
        <v>154</v>
      </c>
      <c r="B10" s="13" t="s">
        <v>91</v>
      </c>
    </row>
    <row r="11" spans="1:2" x14ac:dyDescent="0.55000000000000004">
      <c r="A11" s="13" t="s">
        <v>155</v>
      </c>
      <c r="B11" s="13" t="s">
        <v>156</v>
      </c>
    </row>
    <row r="12" spans="1:2" x14ac:dyDescent="0.55000000000000004">
      <c r="A12" s="13" t="s">
        <v>157</v>
      </c>
      <c r="B12" s="13" t="s">
        <v>158</v>
      </c>
    </row>
    <row r="13" spans="1:2" x14ac:dyDescent="0.55000000000000004">
      <c r="A13" s="13" t="s">
        <v>159</v>
      </c>
      <c r="B13" s="13" t="s">
        <v>160</v>
      </c>
    </row>
    <row r="14" spans="1:2" x14ac:dyDescent="0.55000000000000004">
      <c r="A14" s="13" t="s">
        <v>161</v>
      </c>
      <c r="B14" s="13" t="s">
        <v>162</v>
      </c>
    </row>
    <row r="15" spans="1:2" x14ac:dyDescent="0.55000000000000004">
      <c r="A15" s="13"/>
      <c r="B15" s="13"/>
    </row>
    <row r="16" spans="1:2" x14ac:dyDescent="0.55000000000000004">
      <c r="A16" s="13" t="s">
        <v>163</v>
      </c>
      <c r="B16" s="13" t="s">
        <v>164</v>
      </c>
    </row>
    <row r="17" spans="1:2" x14ac:dyDescent="0.55000000000000004">
      <c r="A17" s="13"/>
      <c r="B17" s="13"/>
    </row>
    <row r="18" spans="1:2" x14ac:dyDescent="0.55000000000000004">
      <c r="A18" s="13" t="s">
        <v>165</v>
      </c>
      <c r="B18" s="13"/>
    </row>
    <row r="19" spans="1:2" x14ac:dyDescent="0.55000000000000004">
      <c r="A19" s="13" t="s">
        <v>166</v>
      </c>
      <c r="B19" s="13">
        <v>10</v>
      </c>
    </row>
    <row r="20" spans="1:2" x14ac:dyDescent="0.55000000000000004">
      <c r="A20" s="13" t="s">
        <v>167</v>
      </c>
      <c r="B20" s="13">
        <v>20</v>
      </c>
    </row>
    <row r="21" spans="1:2" x14ac:dyDescent="0.55000000000000004">
      <c r="A21" s="13" t="s">
        <v>168</v>
      </c>
      <c r="B21" s="13">
        <v>30</v>
      </c>
    </row>
    <row r="22" spans="1:2" x14ac:dyDescent="0.55000000000000004">
      <c r="A22" s="13" t="s">
        <v>169</v>
      </c>
      <c r="B22" s="13" t="s">
        <v>170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41</vt:i4>
      </vt:variant>
    </vt:vector>
  </HeadingPairs>
  <TitlesOfParts>
    <vt:vector size="44" baseType="lpstr">
      <vt:lpstr>Model</vt:lpstr>
      <vt:lpstr>Standalone Diagnostics</vt:lpstr>
      <vt:lpstr>Solver Model</vt:lpstr>
      <vt:lpstr>ALL_VALID</vt:lpstr>
      <vt:lpstr>BEDS_CAR</vt:lpstr>
      <vt:lpstr>BEDS_MES</vt:lpstr>
      <vt:lpstr>BEDS_PLANTED</vt:lpstr>
      <vt:lpstr>BEDS_TOM</vt:lpstr>
      <vt:lpstr>BEDS_TOTAL</vt:lpstr>
      <vt:lpstr>CAR_DIM_PCT</vt:lpstr>
      <vt:lpstr>CAR_FERT_COST</vt:lpstr>
      <vt:lpstr>CAR_HRS</vt:lpstr>
      <vt:lpstr>CAR_MAXBED</vt:lpstr>
      <vt:lpstr>CAR_PRICE</vt:lpstr>
      <vt:lpstr>EXCESS_HRS</vt:lpstr>
      <vt:lpstr>FARMER_COST</vt:lpstr>
      <vt:lpstr>FARMER_HRS_CAP</vt:lpstr>
      <vt:lpstr>FARMER_HRS_USED</vt:lpstr>
      <vt:lpstr>FARMER_RATE</vt:lpstr>
      <vt:lpstr>FERT_COST</vt:lpstr>
      <vt:lpstr>FIXED_COST</vt:lpstr>
      <vt:lpstr>LABOR_COST</vt:lpstr>
      <vt:lpstr>LABOR_HRS_TOTAL</vt:lpstr>
      <vt:lpstr>MAX_FARMER_COST</vt:lpstr>
      <vt:lpstr>MAX_TEMP_WORKER_COST</vt:lpstr>
      <vt:lpstr>MES_DIM_PCT</vt:lpstr>
      <vt:lpstr>MES_FERT_COST</vt:lpstr>
      <vt:lpstr>MES_HRS</vt:lpstr>
      <vt:lpstr>MES_MAXBED</vt:lpstr>
      <vt:lpstr>MES_PRICE</vt:lpstr>
      <vt:lpstr>N_WORKERS_NEEDED</vt:lpstr>
      <vt:lpstr>PROFIT</vt:lpstr>
      <vt:lpstr>TEMP_COST</vt:lpstr>
      <vt:lpstr>TEMP_RATE</vt:lpstr>
      <vt:lpstr>TOM_DIM_PCT</vt:lpstr>
      <vt:lpstr>TOM_FERT_COST</vt:lpstr>
      <vt:lpstr>TOM_HRS</vt:lpstr>
      <vt:lpstr>TOM_MAXBED</vt:lpstr>
      <vt:lpstr>TOM_PRICE</vt:lpstr>
      <vt:lpstr>TOTAL_COST</vt:lpstr>
      <vt:lpstr>TOTAL_REVENUE</vt:lpstr>
      <vt:lpstr>WEEKS</vt:lpstr>
      <vt:lpstr>WORKER_HRS_CAP</vt:lpstr>
      <vt:lpstr>WORKER_MAX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Richie Gaas</cp:lastModifiedBy>
  <dcterms:created xsi:type="dcterms:W3CDTF">2026-09-05T08:40:34Z</dcterms:created>
  <dcterms:modified xsi:type="dcterms:W3CDTF">2026-09-05T08:41:58Z</dcterms:modified>
</cp:coreProperties>
</file>