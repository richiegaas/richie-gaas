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i\AppData\Local\Temp\claude\C--Users-richi-OneDrive-Desktop-DLEMBA--BUS-620--Micro--and-Macro-Economic-Foundations-for-Managers\cfc02a1c-a830-4c87-8d1b-4489c63015ae\scratchpad\"/>
    </mc:Choice>
  </mc:AlternateContent>
  <xr:revisionPtr revIDLastSave="0" documentId="13_ncr:1_{0D8782DC-7115-4D17-B138-6F8F28D8BF02}" xr6:coauthVersionLast="47" xr6:coauthVersionMax="47" xr10:uidLastSave="{00000000-0000-0000-0000-000000000000}"/>
  <bookViews>
    <workbookView xWindow="2196" yWindow="2196" windowWidth="17280" windowHeight="8904" xr2:uid="{00000000-000D-0000-FFFF-FFFF00000000}"/>
  </bookViews>
  <sheets>
    <sheet name="Model" sheetId="1" r:id="rId1"/>
    <sheet name="Standalone Diagnostics" sheetId="2" r:id="rId2"/>
    <sheet name="Solver Model" sheetId="3" r:id="rId3"/>
  </sheets>
  <definedNames>
    <definedName name="ALL_VALID">Model!$B$68</definedName>
    <definedName name="BEDS_CAR">Model!$C$27</definedName>
    <definedName name="BEDS_MES">Model!$D$27</definedName>
    <definedName name="BEDS_PLANTED">Model!$B$28</definedName>
    <definedName name="BEDS_TOM">Model!$B$27</definedName>
    <definedName name="BEDS_TOTAL">Model!$B$23</definedName>
    <definedName name="CAR_DIM_PCT">Model!$C$9</definedName>
    <definedName name="CAR_FERT_COST">Model!$C$8</definedName>
    <definedName name="CAR_HRS">Model!$C$7</definedName>
    <definedName name="CAR_MAXBED">Model!$C$10</definedName>
    <definedName name="CAR_PRICE">Model!$C$6</definedName>
    <definedName name="EXCESS_HRS">Model!$B$44</definedName>
    <definedName name="FARMER_COST">Model!$B$45</definedName>
    <definedName name="FARMER_HRS_CAP">Model!$B$16</definedName>
    <definedName name="FARMER_HRS_USED">Model!$B$43</definedName>
    <definedName name="FARMER_RATE">Model!$B$18</definedName>
    <definedName name="FERT_COST">Model!$E$53</definedName>
    <definedName name="FIXED_COST">Model!$B$15</definedName>
    <definedName name="LABOR_COST">Model!$B$47</definedName>
    <definedName name="LABOR_HRS_TOTAL">Model!$E$32</definedName>
    <definedName name="MAX_FARMER_COST">Model!$B$17</definedName>
    <definedName name="MAX_TEMP_WORKER_COST">Model!$B$20</definedName>
    <definedName name="MES_DIM_PCT">Model!$D$9</definedName>
    <definedName name="MES_FERT_COST">Model!$D$8</definedName>
    <definedName name="MES_HRS">Model!$D$7</definedName>
    <definedName name="MES_MAXBED">Model!$D$10</definedName>
    <definedName name="MES_PRICE">Model!$D$6</definedName>
    <definedName name="N_WORKERS_NEEDED">Model!$B$48</definedName>
    <definedName name="PROFIT">Model!$B$55</definedName>
    <definedName name="solver_adj" localSheetId="0" hidden="1">Model!$B$27:$D$27</definedName>
    <definedName name="solver_eng" localSheetId="0" hidden="1">3</definedName>
    <definedName name="solver_lhs1" localSheetId="0" hidden="1">Model!$B$27:$D$27</definedName>
    <definedName name="solver_lhs2" localSheetId="0" hidden="1">Model!$B$28</definedName>
    <definedName name="solver_lhs3" localSheetId="0" hidden="1">Model!$E$32</definedName>
    <definedName name="solver_lhs4" localSheetId="0" hidden="1">Model!$B$27:$D$27</definedName>
    <definedName name="solver_lhs5" localSheetId="0" hidden="1">Model!$B$27:$D$27</definedName>
    <definedName name="solver_neg" localSheetId="0" hidden="1">1</definedName>
    <definedName name="solver_num" localSheetId="0" hidden="1">5</definedName>
    <definedName name="solver_opt" localSheetId="0" hidden="1">Model!$B$55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4</definedName>
    <definedName name="solver_rel5" localSheetId="0" hidden="1">3</definedName>
    <definedName name="solver_rhs1" localSheetId="0" hidden="1">Model!$B$10:$D$10</definedName>
    <definedName name="solver_rhs2" localSheetId="0" hidden="1">Model!$B$23</definedName>
    <definedName name="solver_rhs3" localSheetId="0" hidden="1">6480</definedName>
    <definedName name="solver_rhs4" localSheetId="0" hidden="1">"integer"</definedName>
    <definedName name="solver_rhs5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  <definedName name="TEMP_COST">Model!$B$46</definedName>
    <definedName name="TEMP_RATE">Model!$B$21</definedName>
    <definedName name="TOM_DIM_PCT">Model!$B$9</definedName>
    <definedName name="TOM_FERT_COST">Model!$B$8</definedName>
    <definedName name="TOM_HRS">Model!$B$7</definedName>
    <definedName name="TOM_MAXBED">Model!$B$10</definedName>
    <definedName name="TOM_PRICE">Model!$B$6</definedName>
    <definedName name="TOTAL_COST">Model!$B$54</definedName>
    <definedName name="TOTAL_REVENUE">Model!$E$52</definedName>
    <definedName name="WEEKS">Model!$B$14</definedName>
    <definedName name="WORKER_HRS_CAP">Model!$B$19</definedName>
    <definedName name="WORKER_MAX">Model!$B$22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2" l="1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C62" i="2" s="1"/>
  <c r="B61" i="2"/>
  <c r="B60" i="2"/>
  <c r="B59" i="2"/>
  <c r="B58" i="2"/>
  <c r="B57" i="2"/>
  <c r="E56" i="2"/>
  <c r="B56" i="2"/>
  <c r="E31" i="2"/>
  <c r="B26" i="2"/>
  <c r="B25" i="2"/>
  <c r="B24" i="2"/>
  <c r="B23" i="2"/>
  <c r="B22" i="2"/>
  <c r="C22" i="2" s="1"/>
  <c r="B21" i="2"/>
  <c r="C21" i="2" s="1"/>
  <c r="D21" i="2" s="1"/>
  <c r="B20" i="2"/>
  <c r="C20" i="2" s="1"/>
  <c r="B19" i="2"/>
  <c r="B18" i="2"/>
  <c r="B17" i="2"/>
  <c r="B16" i="2"/>
  <c r="B15" i="2"/>
  <c r="B14" i="2"/>
  <c r="C14" i="2" s="1"/>
  <c r="B13" i="2"/>
  <c r="C13" i="2" s="1"/>
  <c r="B12" i="2"/>
  <c r="C12" i="2" s="1"/>
  <c r="B11" i="2"/>
  <c r="B10" i="2"/>
  <c r="B9" i="2"/>
  <c r="B8" i="2"/>
  <c r="B7" i="2"/>
  <c r="E6" i="2"/>
  <c r="B6" i="2"/>
  <c r="C6" i="2" s="1"/>
  <c r="B74" i="1"/>
  <c r="B73" i="1"/>
  <c r="B72" i="1"/>
  <c r="B65" i="1"/>
  <c r="B62" i="1"/>
  <c r="B61" i="1"/>
  <c r="B60" i="1"/>
  <c r="D53" i="1"/>
  <c r="C53" i="1"/>
  <c r="B53" i="1"/>
  <c r="D52" i="1"/>
  <c r="C52" i="1"/>
  <c r="B52" i="1"/>
  <c r="B38" i="1"/>
  <c r="D38" i="1" s="1"/>
  <c r="B37" i="1"/>
  <c r="D37" i="1" s="1"/>
  <c r="B36" i="1"/>
  <c r="D36" i="1" s="1"/>
  <c r="D32" i="1"/>
  <c r="B32" i="1"/>
  <c r="B28" i="1"/>
  <c r="B59" i="1" s="1"/>
  <c r="B21" i="1"/>
  <c r="B18" i="1"/>
  <c r="C7" i="1"/>
  <c r="B50" i="2" s="1"/>
  <c r="C50" i="2" s="1"/>
  <c r="C56" i="2" l="1"/>
  <c r="C63" i="2"/>
  <c r="D63" i="2" s="1"/>
  <c r="C71" i="2"/>
  <c r="C79" i="2"/>
  <c r="D14" i="2"/>
  <c r="C15" i="2"/>
  <c r="C80" i="2"/>
  <c r="C8" i="2"/>
  <c r="C16" i="2"/>
  <c r="C24" i="2"/>
  <c r="B41" i="2"/>
  <c r="C41" i="2" s="1"/>
  <c r="C57" i="2"/>
  <c r="C65" i="2"/>
  <c r="C73" i="2"/>
  <c r="C81" i="2"/>
  <c r="D22" i="2"/>
  <c r="B37" i="2"/>
  <c r="C37" i="2" s="1"/>
  <c r="B39" i="2"/>
  <c r="C39" i="2" s="1"/>
  <c r="C9" i="2"/>
  <c r="C17" i="2"/>
  <c r="C25" i="2"/>
  <c r="B43" i="2"/>
  <c r="C43" i="2" s="1"/>
  <c r="C58" i="2"/>
  <c r="D59" i="2" s="1"/>
  <c r="C66" i="2"/>
  <c r="C74" i="2"/>
  <c r="C82" i="2"/>
  <c r="D13" i="2"/>
  <c r="B35" i="2"/>
  <c r="C35" i="2" s="1"/>
  <c r="B51" i="2"/>
  <c r="C51" i="2" s="1"/>
  <c r="C7" i="2"/>
  <c r="D7" i="2" s="1"/>
  <c r="C72" i="2"/>
  <c r="D72" i="2" s="1"/>
  <c r="C32" i="1"/>
  <c r="C10" i="2"/>
  <c r="C18" i="2"/>
  <c r="C26" i="2"/>
  <c r="B45" i="2"/>
  <c r="C45" i="2" s="1"/>
  <c r="C59" i="2"/>
  <c r="C67" i="2"/>
  <c r="C75" i="2"/>
  <c r="D75" i="2" s="1"/>
  <c r="C83" i="2"/>
  <c r="D84" i="2" s="1"/>
  <c r="B39" i="1"/>
  <c r="D39" i="1" s="1"/>
  <c r="B67" i="1" s="1"/>
  <c r="C23" i="2"/>
  <c r="C64" i="2"/>
  <c r="D64" i="2" s="1"/>
  <c r="C11" i="2"/>
  <c r="D12" i="2" s="1"/>
  <c r="E21" i="2" s="1"/>
  <c r="C19" i="2"/>
  <c r="B47" i="2"/>
  <c r="C47" i="2" s="1"/>
  <c r="C60" i="2"/>
  <c r="D60" i="2" s="1"/>
  <c r="C68" i="2"/>
  <c r="D68" i="2" s="1"/>
  <c r="C76" i="2"/>
  <c r="C84" i="2"/>
  <c r="D20" i="2"/>
  <c r="B33" i="2"/>
  <c r="C33" i="2" s="1"/>
  <c r="B49" i="2"/>
  <c r="C49" i="2" s="1"/>
  <c r="D50" i="2" s="1"/>
  <c r="C61" i="2"/>
  <c r="D61" i="2" s="1"/>
  <c r="C69" i="2"/>
  <c r="D69" i="2" s="1"/>
  <c r="C77" i="2"/>
  <c r="D77" i="2" s="1"/>
  <c r="C85" i="2"/>
  <c r="D85" i="2" s="1"/>
  <c r="C70" i="2"/>
  <c r="C78" i="2"/>
  <c r="C86" i="2"/>
  <c r="E53" i="1"/>
  <c r="E32" i="1"/>
  <c r="B63" i="1" s="1"/>
  <c r="E52" i="1"/>
  <c r="B78" i="1" s="1"/>
  <c r="D16" i="2"/>
  <c r="D57" i="2"/>
  <c r="D81" i="2"/>
  <c r="D25" i="2"/>
  <c r="D58" i="2"/>
  <c r="D82" i="2"/>
  <c r="D18" i="2"/>
  <c r="D11" i="2"/>
  <c r="D19" i="2"/>
  <c r="D76" i="2"/>
  <c r="D15" i="2"/>
  <c r="D80" i="2"/>
  <c r="D24" i="2"/>
  <c r="D65" i="2"/>
  <c r="D9" i="2"/>
  <c r="E18" i="2" s="1"/>
  <c r="D66" i="2"/>
  <c r="D10" i="2"/>
  <c r="D26" i="2"/>
  <c r="D67" i="2"/>
  <c r="D33" i="2"/>
  <c r="D49" i="2"/>
  <c r="E8" i="2"/>
  <c r="E9" i="2"/>
  <c r="E7" i="2"/>
  <c r="D23" i="2"/>
  <c r="D8" i="2"/>
  <c r="D17" i="2"/>
  <c r="D74" i="2"/>
  <c r="D35" i="2"/>
  <c r="D51" i="2"/>
  <c r="B31" i="2"/>
  <c r="C31" i="2" s="1"/>
  <c r="B32" i="2"/>
  <c r="C32" i="2" s="1"/>
  <c r="D32" i="2" s="1"/>
  <c r="B34" i="2"/>
  <c r="C34" i="2" s="1"/>
  <c r="D34" i="2" s="1"/>
  <c r="B36" i="2"/>
  <c r="C36" i="2" s="1"/>
  <c r="D36" i="2" s="1"/>
  <c r="B38" i="2"/>
  <c r="C38" i="2" s="1"/>
  <c r="D38" i="2" s="1"/>
  <c r="B40" i="2"/>
  <c r="C40" i="2" s="1"/>
  <c r="D40" i="2" s="1"/>
  <c r="B42" i="2"/>
  <c r="C42" i="2" s="1"/>
  <c r="D42" i="2" s="1"/>
  <c r="B44" i="2"/>
  <c r="C44" i="2" s="1"/>
  <c r="D44" i="2" s="1"/>
  <c r="B46" i="2"/>
  <c r="C46" i="2" s="1"/>
  <c r="D46" i="2" s="1"/>
  <c r="B48" i="2"/>
  <c r="C48" i="2" s="1"/>
  <c r="D48" i="2" s="1"/>
  <c r="D73" i="2" l="1"/>
  <c r="D86" i="2"/>
  <c r="D83" i="2"/>
  <c r="E16" i="2"/>
  <c r="D47" i="2"/>
  <c r="D78" i="2"/>
  <c r="D70" i="2"/>
  <c r="E20" i="2"/>
  <c r="B43" i="1"/>
  <c r="B45" i="1" s="1"/>
  <c r="B76" i="1" s="1"/>
  <c r="D62" i="2"/>
  <c r="E84" i="2" s="1"/>
  <c r="D79" i="2"/>
  <c r="B44" i="1"/>
  <c r="D71" i="2"/>
  <c r="E12" i="2"/>
  <c r="E25" i="2"/>
  <c r="E22" i="2"/>
  <c r="D43" i="2"/>
  <c r="D39" i="2"/>
  <c r="E11" i="2"/>
  <c r="E24" i="2"/>
  <c r="E13" i="2"/>
  <c r="E10" i="2"/>
  <c r="E26" i="2"/>
  <c r="E36" i="2"/>
  <c r="E34" i="2"/>
  <c r="E32" i="2"/>
  <c r="E35" i="2"/>
  <c r="E33" i="2"/>
  <c r="D41" i="2"/>
  <c r="E15" i="2"/>
  <c r="B46" i="1"/>
  <c r="B77" i="1" s="1"/>
  <c r="B48" i="1"/>
  <c r="E86" i="2"/>
  <c r="E78" i="2"/>
  <c r="E76" i="2"/>
  <c r="E74" i="2"/>
  <c r="E72" i="2"/>
  <c r="E70" i="2"/>
  <c r="E62" i="2"/>
  <c r="E60" i="2"/>
  <c r="E58" i="2"/>
  <c r="E85" i="2"/>
  <c r="E83" i="2"/>
  <c r="E75" i="2"/>
  <c r="E73" i="2"/>
  <c r="E71" i="2"/>
  <c r="E69" i="2"/>
  <c r="E67" i="2"/>
  <c r="E61" i="2"/>
  <c r="E59" i="2"/>
  <c r="E57" i="2"/>
  <c r="E17" i="2"/>
  <c r="E14" i="2"/>
  <c r="E19" i="2"/>
  <c r="D45" i="2"/>
  <c r="E23" i="2"/>
  <c r="D37" i="2"/>
  <c r="D27" i="2" l="1"/>
  <c r="E40" i="2"/>
  <c r="E77" i="2"/>
  <c r="E64" i="2"/>
  <c r="E80" i="2"/>
  <c r="E79" i="2"/>
  <c r="E82" i="2"/>
  <c r="E63" i="2"/>
  <c r="D87" i="2" s="1"/>
  <c r="E66" i="2"/>
  <c r="E65" i="2"/>
  <c r="E81" i="2"/>
  <c r="E68" i="2"/>
  <c r="B75" i="1"/>
  <c r="B64" i="1"/>
  <c r="E42" i="2"/>
  <c r="E49" i="2"/>
  <c r="E44" i="2"/>
  <c r="E51" i="2"/>
  <c r="E46" i="2"/>
  <c r="E37" i="2"/>
  <c r="E48" i="2"/>
  <c r="E41" i="2"/>
  <c r="E43" i="2"/>
  <c r="E38" i="2"/>
  <c r="B47" i="1"/>
  <c r="E47" i="2"/>
  <c r="E39" i="2"/>
  <c r="E50" i="2"/>
  <c r="E45" i="2"/>
  <c r="D52" i="2" l="1"/>
  <c r="B54" i="1"/>
  <c r="B55" i="1" s="1"/>
  <c r="B79" i="1" s="1"/>
  <c r="B66" i="1" l="1"/>
  <c r="B68" i="1" s="1"/>
</calcChain>
</file>

<file path=xl/sharedStrings.xml><?xml version="1.0" encoding="utf-8"?>
<sst xmlns="http://schemas.openxmlformats.org/spreadsheetml/2006/main" count="255" uniqueCount="190">
  <si>
    <t>Marginal analysis - perfect competition (post-review build 2026-09-24)</t>
  </si>
  <si>
    <t>Built from capabilities/marginal-analysis/spec.md. Blue = input. Yellow = decision cell (Solver changes these). Black = formula.</t>
  </si>
  <si>
    <t>INPUTS - per-crop (crop table)</t>
  </si>
  <si>
    <t>Name</t>
  </si>
  <si>
    <t>Tomatoes</t>
  </si>
  <si>
    <t>Carrots</t>
  </si>
  <si>
    <t>Mesclun</t>
  </si>
  <si>
    <t>Unit</t>
  </si>
  <si>
    <t>Source</t>
  </si>
  <si>
    <t>PRICE</t>
  </si>
  <si>
    <t>USD/bed</t>
  </si>
  <si>
    <t>Case scenario, crop table</t>
  </si>
  <si>
    <t>HRS</t>
  </si>
  <si>
    <t>hours/week/bed</t>
  </si>
  <si>
    <t>Case scenario, crop table (carrot: exact fraction, case prints 0.833)</t>
  </si>
  <si>
    <t>FERT_COST</t>
  </si>
  <si>
    <t>DIM_PCT</t>
  </si>
  <si>
    <t>fraction/bed</t>
  </si>
  <si>
    <t>MAXBED</t>
  </si>
  <si>
    <t>beds</t>
  </si>
  <si>
    <t>INPUTS - the named contract (scalars)</t>
  </si>
  <si>
    <t>Value</t>
  </si>
  <si>
    <t>WEEKS</t>
  </si>
  <si>
    <t>weeks</t>
  </si>
  <si>
    <t>Case scenario ("SEASON")</t>
  </si>
  <si>
    <t>FIXED_COST</t>
  </si>
  <si>
    <t>USD/season</t>
  </si>
  <si>
    <t>Case scenario ("FIXED COSTS", to operate entire farm)</t>
  </si>
  <si>
    <t>FARMER_HRS_CAP</t>
  </si>
  <si>
    <t>hours/season</t>
  </si>
  <si>
    <t>Case scenario (farmer's field-hour cap before temp billing)</t>
  </si>
  <si>
    <t>MAX_FARMER_COST</t>
  </si>
  <si>
    <t>Case scenario, descriptive context only - NOT used in any formula</t>
  </si>
  <si>
    <t>FARMER_RATE</t>
  </si>
  <si>
    <t>USD/hour</t>
  </si>
  <si>
    <t>Case scenario ("FARMER RATE" = 50,000 / 1,440)</t>
  </si>
  <si>
    <t>WORKER_HRS_CAP</t>
  </si>
  <si>
    <t>hours/season/worker</t>
  </si>
  <si>
    <t>Case scenario</t>
  </si>
  <si>
    <t>MAX_TEMP_WORKER_COST</t>
  </si>
  <si>
    <t>USD/season/worker</t>
  </si>
  <si>
    <t>TEMP_RATE</t>
  </si>
  <si>
    <t>Case scenario ("TEMP WORKER RATE" = 25,000 / 1,440)</t>
  </si>
  <si>
    <t>WORKER_MAX</t>
  </si>
  <si>
    <t>workers</t>
  </si>
  <si>
    <t>BEDS_TOTAL</t>
  </si>
  <si>
    <t>Case scenario ("64 is the max number of beds allowed")</t>
  </si>
  <si>
    <t>DECISION VARIABLES - integers; Solver 'By Changing Variable Cells'</t>
  </si>
  <si>
    <t>Constraint</t>
  </si>
  <si>
    <t>BEDS</t>
  </si>
  <si>
    <t>integer &gt;= 0 ; BEDS(crop) &lt;= MAXBED(crop) ; SUM(BEDS) &lt;= BEDS_TOTAL</t>
  </si>
  <si>
    <t>Beds planted (SUM)</t>
  </si>
  <si>
    <t>PER-CROP LABOR HOURS (rounded to the nearest minute)</t>
  </si>
  <si>
    <t>Total</t>
  </si>
  <si>
    <t>Formula (named-range form)</t>
  </si>
  <si>
    <t>LABOR_HRS</t>
  </si>
  <si>
    <t>LABOR_HRS(crop) = ROUND(BEDS x HRS x WEEKS x (1+DIM_PCT)^BEDS  to the nearest minute)</t>
  </si>
  <si>
    <t>Q=1 HAND CHECK (build audit) - standalone of the decision cells above</t>
  </si>
  <si>
    <t>Claim</t>
  </si>
  <si>
    <t>Formula result</t>
  </si>
  <si>
    <t>Hand math</t>
  </si>
  <si>
    <t>Match?</t>
  </si>
  <si>
    <t>One tomato bed (q=1) takes exactly 99 hours</t>
  </si>
  <si>
    <t>Ten tomato beds (q=10) take 2,334.37 hours</t>
  </si>
  <si>
    <t>One tomato bed's revenue equals its price ($8,800), q has no effect on unit price</t>
  </si>
  <si>
    <t>One tomato bed's labor cost = 99 hrs x FARMER_RATE (under FARMER_HRS_CAP, no temp billing)</t>
  </si>
  <si>
    <t>POOLED LABOR BILLING (farmer covers first FARMER_HRS_CAP; overflow billed to temps)</t>
  </si>
  <si>
    <t>FARMER_HRS_USED</t>
  </si>
  <si>
    <t>hours</t>
  </si>
  <si>
    <t>FARMER_HRS_USED = MIN(LABOR_HRS_TOTAL, FARMER_HRS_CAP)</t>
  </si>
  <si>
    <t>EXCESS_HRS</t>
  </si>
  <si>
    <t>EXCESS_HRS = MAX(0, LABOR_HRS_TOTAL - FARMER_HRS_CAP)</t>
  </si>
  <si>
    <t>FARMER_COST</t>
  </si>
  <si>
    <t>USD</t>
  </si>
  <si>
    <t>FARMER_COST = ROUND(FARMER_HRS_USED x FARMER_RATE, nearest USD 0.10)</t>
  </si>
  <si>
    <t>TEMP_COST</t>
  </si>
  <si>
    <t>TEMP_COST = ROUND(EXCESS_HRS x TEMP_RATE, nearest USD 0.10)</t>
  </si>
  <si>
    <t>LABOR_COST</t>
  </si>
  <si>
    <t>LABOR_COST = FARMER_COST + TEMP_COST</t>
  </si>
  <si>
    <t>N_WORKERS_NEEDED</t>
  </si>
  <si>
    <t>0 if EXCESS_HRS = 0, else ROUNDUP(EXCESS_HRS / WORKER_HRS_CAP)  -- informational, not a decision</t>
  </si>
  <si>
    <t>ROLL-UP - revenue, fertilizer, season profit</t>
  </si>
  <si>
    <t>CROP_REVENUE</t>
  </si>
  <si>
    <t>CROP_REVENUE(crop) = BEDS(crop) x PRICE(crop)  (price fixed regardless of q)</t>
  </si>
  <si>
    <t>CROP_FERT_COST</t>
  </si>
  <si>
    <t>FERT_COST = SUM over crop of (BEDS(crop) x FERT_COST(crop))</t>
  </si>
  <si>
    <t>TOTAL_COST</t>
  </si>
  <si>
    <t>TOTAL_COST = FIXED_COST + FERT_COST + LABOR_COST</t>
  </si>
  <si>
    <t>PROFIT</t>
  </si>
  <si>
    <t>PROFIT = TOTAL_REVENUE - TOTAL_COST</t>
  </si>
  <si>
    <t>VALIDATION RULES - computed in the workbook</t>
  </si>
  <si>
    <t>Rule</t>
  </si>
  <si>
    <t>Pass?</t>
  </si>
  <si>
    <t>Test</t>
  </si>
  <si>
    <t>Beds fit the land cap</t>
  </si>
  <si>
    <t>SUM of BEDS(crop) &lt;= BEDS_TOTAL</t>
  </si>
  <si>
    <t>Tomato beds within per-crop cap</t>
  </si>
  <si>
    <t>BEDS_TOM &lt;= TOM_MAXBED</t>
  </si>
  <si>
    <t>Carrot beds within per-crop cap</t>
  </si>
  <si>
    <t>BEDS_CAR &lt;= CAR_MAXBED</t>
  </si>
  <si>
    <t>Mesclun beds within per-crop cap</t>
  </si>
  <si>
    <t>BEDS_MES &lt;= MES_MAXBED</t>
  </si>
  <si>
    <t>Labor within total capacity (farmer + 4 temps)</t>
  </si>
  <si>
    <t>LABOR_HRS_TOTAL &lt;= FARMER_HRS_CAP + WORKER_MAX x WORKER_HRS_CAP</t>
  </si>
  <si>
    <t>Workers needed within WORKER_MAX</t>
  </si>
  <si>
    <t>N_WORKERS_NEEDED &lt;= WORKER_MAX</t>
  </si>
  <si>
    <t>Bed counts are integers</t>
  </si>
  <si>
    <t>each BEDS(crop) is a whole number</t>
  </si>
  <si>
    <t>Profit reconciles (within $0.005)</t>
  </si>
  <si>
    <t>TOTAL_REVENUE - FIXED_COST - FERT_COST - LABOR_COST = PROFIT</t>
  </si>
  <si>
    <t>Q=1 hand check passes (all four rows above)</t>
  </si>
  <si>
    <t>see Q=1 HAND CHECK block above</t>
  </si>
  <si>
    <t>ALL RULES PASS</t>
  </si>
  <si>
    <t>AND of every rule above</t>
  </si>
  <si>
    <t>OUTPUTS</t>
  </si>
  <si>
    <t>Tomato beds</t>
  </si>
  <si>
    <t>Carrot beds</t>
  </si>
  <si>
    <t>Mesclun beds</t>
  </si>
  <si>
    <t>Temp workers needed</t>
  </si>
  <si>
    <t>Total labor cost - Farmer</t>
  </si>
  <si>
    <t>Total labor cost - Temp workers</t>
  </si>
  <si>
    <t>Total revenue</t>
  </si>
  <si>
    <t>Profit</t>
  </si>
  <si>
    <t>NOTES (from spec.md Conventions / Audit findings)</t>
  </si>
  <si>
    <t>Pooled hourly billing: all three crops' labor hours are pooled; the farmer absorbs the first</t>
  </si>
  <si>
    <t xml:space="preserve">  FARMER_HRS_CAP (720) hours at FARMER_RATE; every hour beyond that is billed at TEMP_RATE, up to</t>
  </si>
  <si>
    <t xml:space="preserve">  capacity FARMER_HRS_CAP + WORKER_MAX x WORKER_HRS_CAP = 6,480 hours. No per-worker fixed fee --</t>
  </si>
  <si>
    <t xml:space="preserve">  MAX_FARMER_COST and MAX_TEMP_WORKER_COST are descriptive only.</t>
  </si>
  <si>
    <t>FARMER_RATE / TEMP_RATE are the UNROUNDED ratios 50000/1440 and 25000/1440, not the source table's</t>
  </si>
  <si>
    <t xml:space="preserve">  rounded display figures ($34.72 / $17.36).</t>
  </si>
  <si>
    <t>CAR_HRS is the exact fraction 2.5/3 (0.8333...), not the source table's rounded display figure 0.833.</t>
  </si>
  <si>
    <t>Rounding is applied at every intermediate step: hours to the nearest minute, USD to the nearest ten</t>
  </si>
  <si>
    <t xml:space="preserve">  cents -- not only at the final PROFIT figure.</t>
  </si>
  <si>
    <t>Check figure: optimal mix is BEDS_TOM=10 / BEDS_CAR=20 / BEDS_MES=30, stated profit $42,762 within $5.</t>
  </si>
  <si>
    <t xml:space="preserve">  Full enumeration over the whole feasible grid (0-20/0-20/0-30, sum&lt;=64, labor&lt;=6,480 hrs) confirms</t>
  </si>
  <si>
    <t xml:space="preserve">  10/20/30 IS the exact global profit-maximizing allocation. Computed profit is $42,761.70 with this</t>
  </si>
  <si>
    <t xml:space="preserve">  workbook's rounding ($42,761.66 with none) -- inside the +/-$5 band.</t>
  </si>
  <si>
    <t>Standalone MC=Price crossings (spec check figure: 10, 10, 6): the Standalone Diagnostics sheet applies</t>
  </si>
  <si>
    <t xml:space="preserve">  the same farmer-first tiered billing to each crop's own private schedule and reads the crossing as</t>
  </si>
  <si>
    <t xml:space="preserve">  the FIRST bed where marginal cost exceeds price (the standard textbook stopping rule) -- this</t>
  </si>
  <si>
    <t xml:space="preserve">  reproduces 10, 10, 6 exactly. See spec.md Audit findings for why the LAST bed with MC&lt;=price (the</t>
  </si>
  <si>
    <t xml:space="preserve">  economically rigorous answer once MC stops being monotonic) instead gives 10, 20, 30.</t>
  </si>
  <si>
    <t>Build audit (q=1 hand check, pasted-value scan, two Solver starting points, independent cross-check):</t>
  </si>
  <si>
    <t xml:space="preserve">  see spec.md Audit findings, 'Build audit' section, for the full write-up and results.</t>
  </si>
  <si>
    <t>Decision cells hold the profit-maximising integer allocation found by full enumeration; the embedded</t>
  </si>
  <si>
    <t xml:space="preserve">  Solver model (Data &gt; Solver) reproduces it.</t>
  </si>
  <si>
    <t>Standalone (single-crop, farmer-first-tiered) marginal-cost = price diagnostics</t>
  </si>
  <si>
    <t>Each crop gets its own private 720-hr farmer allocation, then TEMP_RATE overflow -- same billing as the Model sheet, applied standalone. Crossing = first bed where MC &gt; PRICE (matches spec check figure 10, 10, 6 exactly). See spec.md Audit findings for why this differs from the LAST bed with MC&lt;=price (10, 20, 30) once MC stops being monotonic.</t>
  </si>
  <si>
    <t>TOMATOES</t>
  </si>
  <si>
    <t>q</t>
  </si>
  <si>
    <t>LABOR_HRS(q)</t>
  </si>
  <si>
    <t>TIERED COST(q)</t>
  </si>
  <si>
    <t>MC(q)</t>
  </si>
  <si>
    <t>RUNNING MAX MC</t>
  </si>
  <si>
    <t>Crossing: first bed where MC &gt; PRICE (i.e. last bed still on the plan)</t>
  </si>
  <si>
    <t>CARROTS</t>
  </si>
  <si>
    <t>MESCLUN</t>
  </si>
  <si>
    <t>Solver model (also stored live in the workbook - open Data &gt; Solver)</t>
  </si>
  <si>
    <t>Set Objective</t>
  </si>
  <si>
    <t>Model!$B$55   (PROFIT)</t>
  </si>
  <si>
    <t>To</t>
  </si>
  <si>
    <t>Max</t>
  </si>
  <si>
    <t>By Changing Variable Cells</t>
  </si>
  <si>
    <t>BEDS_TOM, BEDS_CAR, BEDS_MES</t>
  </si>
  <si>
    <t>Subject to the Constraints</t>
  </si>
  <si>
    <t xml:space="preserve">  1</t>
  </si>
  <si>
    <t xml:space="preserve">  2</t>
  </si>
  <si>
    <t xml:space="preserve">  3</t>
  </si>
  <si>
    <t xml:space="preserve">  4</t>
  </si>
  <si>
    <t>BEDS_TOM + BEDS_CAR + BEDS_MES &lt;= BEDS_TOTAL</t>
  </si>
  <si>
    <t xml:space="preserve">  5</t>
  </si>
  <si>
    <t>LABOR_HRS_TOTAL &lt;= FARMER_HRS_CAP + WORKER_MAX x WORKER_HRS_CAP  (6,480 hrs)</t>
  </si>
  <si>
    <t xml:space="preserve">  6</t>
  </si>
  <si>
    <t>BEDS_TOM, BEDS_CAR, BEDS_MES = integer</t>
  </si>
  <si>
    <t xml:space="preserve">  7</t>
  </si>
  <si>
    <t>BEDS_TOM, BEDS_CAR, BEDS_MES &gt;= 0</t>
  </si>
  <si>
    <t>Solving Method</t>
  </si>
  <si>
    <t>Evolutionary (objective is non-linear via (1+DIM_PCT)^BEDS; integer decisions)</t>
  </si>
  <si>
    <t>Solution found (matches full enumeration)</t>
  </si>
  <si>
    <t xml:space="preserve">  BEDS_TOM</t>
  </si>
  <si>
    <t xml:space="preserve">  BEDS_CAR</t>
  </si>
  <si>
    <t xml:space="preserve">  BEDS_MES</t>
  </si>
  <si>
    <t xml:space="preserve">  PROFIT</t>
  </si>
  <si>
    <t>$42,761.70  (spec check figure: $42,762 within $5 -- matches; see Audit findings in spec.md)</t>
  </si>
  <si>
    <t>Two starting points (build audit)</t>
  </si>
  <si>
    <t>Excel's Evolutionary engine hangs under headless COM automation in</t>
  </si>
  <si>
    <t>this environment (confirmed by direct test); substituted a coordinate-ascent</t>
  </si>
  <si>
    <t>local search in Python from (0,0,0) and (20,20,30) -- both converge to</t>
  </si>
  <si>
    <t>10/20/30 at $42,761.70. Full enumeration (above) is the stronger, authoritative</t>
  </si>
  <si>
    <t>proof of global optimality; this corroborates it. See spec.md for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</si>
</sst>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00"/>
    <numFmt numFmtId="166" formatCode="0.0000"/>
    <numFmt numFmtId="167" formatCode="#,##0&quot; hrs&quot;"/>
    <numFmt numFmtId="168" formatCode="\$#,##0.0000&quot; /hr&quot;"/>
    <numFmt numFmtId="169" formatCode="#,##0.0000&quot; hrs&quot;"/>
    <numFmt numFmtId="170" formatCode="\$#,##0.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164" fontId="5" fillId="4" borderId="1" xfId="0" applyNumberFormat="1" applyFont="1" applyFill="1" applyBorder="1"/>
    <xf numFmtId="0" fontId="6" fillId="0" borderId="1" xfId="0" applyFont="1" applyBorder="1"/>
    <xf numFmtId="0" fontId="2" fillId="0" borderId="1" xfId="0" applyFont="1" applyBorder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1" fontId="5" fillId="4" borderId="1" xfId="0" applyNumberFormat="1" applyFont="1" applyFill="1" applyBorder="1"/>
    <xf numFmtId="167" fontId="5" fillId="4" borderId="1" xfId="0" applyNumberFormat="1" applyFont="1" applyFill="1" applyBorder="1"/>
    <xf numFmtId="168" fontId="5" fillId="4" borderId="1" xfId="0" applyNumberFormat="1" applyFont="1" applyFill="1" applyBorder="1"/>
    <xf numFmtId="1" fontId="4" fillId="5" borderId="1" xfId="0" applyNumberFormat="1" applyFont="1" applyFill="1" applyBorder="1"/>
    <xf numFmtId="0" fontId="6" fillId="0" borderId="0" xfId="0" applyFont="1"/>
    <xf numFmtId="1" fontId="7" fillId="0" borderId="0" xfId="0" applyNumberFormat="1" applyFont="1"/>
    <xf numFmtId="169" fontId="7" fillId="0" borderId="1" xfId="0" applyNumberFormat="1" applyFont="1" applyBorder="1"/>
    <xf numFmtId="169" fontId="4" fillId="0" borderId="1" xfId="0" applyNumberFormat="1" applyFont="1" applyBorder="1"/>
    <xf numFmtId="169" fontId="6" fillId="0" borderId="1" xfId="0" applyNumberFormat="1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164" fontId="6" fillId="0" borderId="1" xfId="0" applyNumberFormat="1" applyFont="1" applyBorder="1"/>
    <xf numFmtId="170" fontId="7" fillId="0" borderId="1" xfId="0" applyNumberFormat="1" applyFont="1" applyBorder="1"/>
    <xf numFmtId="170" fontId="6" fillId="0" borderId="1" xfId="0" applyNumberFormat="1" applyFont="1" applyBorder="1"/>
    <xf numFmtId="1" fontId="7" fillId="0" borderId="1" xfId="0" applyNumberFormat="1" applyFont="1" applyBorder="1"/>
    <xf numFmtId="164" fontId="4" fillId="0" borderId="1" xfId="0" applyNumberFormat="1" applyFont="1" applyBorder="1"/>
    <xf numFmtId="17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1" fontId="4" fillId="0" borderId="0" xfId="0" applyNumberFormat="1" applyFont="1"/>
    <xf numFmtId="0" fontId="2" fillId="0" borderId="0" xfId="0" applyFont="1"/>
    <xf numFmtId="0" fontId="0" fillId="0" borderId="0" xfId="0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showGridLines="0" tabSelected="1" workbookViewId="0">
      <pane ySplit="3" topLeftCell="A4" activePane="bottomLeft" state="frozen"/>
      <selection pane="bottomLeft" sqref="A1:G1"/>
    </sheetView>
  </sheetViews>
  <sheetFormatPr defaultRowHeight="14.4" x14ac:dyDescent="0.55000000000000004"/>
  <cols>
    <col min="1" max="1" width="32" customWidth="1"/>
    <col min="2" max="5" width="16" customWidth="1"/>
    <col min="6" max="6" width="18" customWidth="1"/>
    <col min="7" max="7" width="58" customWidth="1"/>
  </cols>
  <sheetData>
    <row r="1" spans="1:7" ht="17.7" x14ac:dyDescent="0.6">
      <c r="A1" s="32" t="s">
        <v>0</v>
      </c>
      <c r="B1" s="30"/>
      <c r="C1" s="30"/>
      <c r="D1" s="30"/>
      <c r="E1" s="30"/>
      <c r="F1" s="30"/>
      <c r="G1" s="30"/>
    </row>
    <row r="2" spans="1:7" x14ac:dyDescent="0.55000000000000004">
      <c r="A2" s="29" t="s">
        <v>1</v>
      </c>
      <c r="B2" s="30"/>
      <c r="C2" s="30"/>
      <c r="D2" s="30"/>
      <c r="E2" s="30"/>
      <c r="F2" s="30"/>
      <c r="G2" s="30"/>
    </row>
    <row r="4" spans="1:7" x14ac:dyDescent="0.55000000000000004">
      <c r="A4" s="31" t="s">
        <v>2</v>
      </c>
      <c r="B4" s="30"/>
      <c r="C4" s="30"/>
      <c r="D4" s="30"/>
      <c r="E4" s="30"/>
      <c r="F4" s="30"/>
      <c r="G4" s="30"/>
    </row>
    <row r="5" spans="1:7" x14ac:dyDescent="0.55000000000000004">
      <c r="A5" s="1" t="s">
        <v>3</v>
      </c>
      <c r="B5" s="2" t="s">
        <v>4</v>
      </c>
      <c r="C5" s="2" t="s">
        <v>5</v>
      </c>
      <c r="D5" s="2" t="s">
        <v>6</v>
      </c>
      <c r="F5" s="1" t="s">
        <v>7</v>
      </c>
      <c r="G5" s="1" t="s">
        <v>8</v>
      </c>
    </row>
    <row r="6" spans="1:7" x14ac:dyDescent="0.55000000000000004">
      <c r="A6" s="3" t="s">
        <v>9</v>
      </c>
      <c r="B6" s="4">
        <v>8800</v>
      </c>
      <c r="C6" s="4">
        <v>2094</v>
      </c>
      <c r="D6" s="4">
        <v>2700</v>
      </c>
      <c r="F6" s="5" t="s">
        <v>10</v>
      </c>
      <c r="G6" s="6" t="s">
        <v>11</v>
      </c>
    </row>
    <row r="7" spans="1:7" x14ac:dyDescent="0.55000000000000004">
      <c r="A7" s="3" t="s">
        <v>12</v>
      </c>
      <c r="B7" s="7">
        <v>2.5</v>
      </c>
      <c r="C7" s="7">
        <f>2.5/3</f>
        <v>0.83333333333333337</v>
      </c>
      <c r="D7" s="7">
        <v>1.25</v>
      </c>
      <c r="F7" s="5" t="s">
        <v>13</v>
      </c>
      <c r="G7" s="6" t="s">
        <v>14</v>
      </c>
    </row>
    <row r="8" spans="1:7" x14ac:dyDescent="0.55000000000000004">
      <c r="A8" s="3" t="s">
        <v>15</v>
      </c>
      <c r="B8" s="4">
        <v>880</v>
      </c>
      <c r="C8" s="4">
        <v>440</v>
      </c>
      <c r="D8" s="4">
        <v>880</v>
      </c>
      <c r="F8" s="5" t="s">
        <v>10</v>
      </c>
      <c r="G8" s="6" t="s">
        <v>11</v>
      </c>
    </row>
    <row r="9" spans="1:7" x14ac:dyDescent="0.55000000000000004">
      <c r="A9" s="3" t="s">
        <v>16</v>
      </c>
      <c r="B9" s="8">
        <v>0.1</v>
      </c>
      <c r="C9" s="8">
        <v>2.5000000000000001E-2</v>
      </c>
      <c r="D9" s="8">
        <v>1.2500000000000001E-2</v>
      </c>
      <c r="F9" s="5" t="s">
        <v>17</v>
      </c>
      <c r="G9" s="6" t="s">
        <v>11</v>
      </c>
    </row>
    <row r="10" spans="1:7" x14ac:dyDescent="0.55000000000000004">
      <c r="A10" s="3" t="s">
        <v>18</v>
      </c>
      <c r="B10" s="9">
        <v>20</v>
      </c>
      <c r="C10" s="9">
        <v>20</v>
      </c>
      <c r="D10" s="9">
        <v>30</v>
      </c>
      <c r="F10" s="5" t="s">
        <v>19</v>
      </c>
      <c r="G10" s="6" t="s">
        <v>11</v>
      </c>
    </row>
    <row r="12" spans="1:7" x14ac:dyDescent="0.55000000000000004">
      <c r="A12" s="31" t="s">
        <v>20</v>
      </c>
      <c r="B12" s="30"/>
      <c r="C12" s="30"/>
      <c r="D12" s="30"/>
      <c r="E12" s="30"/>
      <c r="F12" s="30"/>
      <c r="G12" s="30"/>
    </row>
    <row r="13" spans="1:7" x14ac:dyDescent="0.55000000000000004">
      <c r="A13" s="1" t="s">
        <v>3</v>
      </c>
      <c r="B13" s="1" t="s">
        <v>21</v>
      </c>
      <c r="F13" s="1" t="s">
        <v>7</v>
      </c>
      <c r="G13" s="1" t="s">
        <v>8</v>
      </c>
    </row>
    <row r="14" spans="1:7" x14ac:dyDescent="0.55000000000000004">
      <c r="A14" s="3" t="s">
        <v>22</v>
      </c>
      <c r="B14" s="9">
        <v>36</v>
      </c>
      <c r="F14" s="5" t="s">
        <v>23</v>
      </c>
      <c r="G14" s="6" t="s">
        <v>24</v>
      </c>
    </row>
    <row r="15" spans="1:7" x14ac:dyDescent="0.55000000000000004">
      <c r="A15" s="3" t="s">
        <v>25</v>
      </c>
      <c r="B15" s="4">
        <v>20000</v>
      </c>
      <c r="F15" s="5" t="s">
        <v>26</v>
      </c>
      <c r="G15" s="6" t="s">
        <v>27</v>
      </c>
    </row>
    <row r="16" spans="1:7" x14ac:dyDescent="0.55000000000000004">
      <c r="A16" s="3" t="s">
        <v>28</v>
      </c>
      <c r="B16" s="10">
        <v>720</v>
      </c>
      <c r="F16" s="5" t="s">
        <v>29</v>
      </c>
      <c r="G16" s="6" t="s">
        <v>30</v>
      </c>
    </row>
    <row r="17" spans="1:7" x14ac:dyDescent="0.55000000000000004">
      <c r="A17" s="3" t="s">
        <v>31</v>
      </c>
      <c r="B17" s="4">
        <v>24998</v>
      </c>
      <c r="F17" s="5" t="s">
        <v>26</v>
      </c>
      <c r="G17" s="6" t="s">
        <v>32</v>
      </c>
    </row>
    <row r="18" spans="1:7" x14ac:dyDescent="0.55000000000000004">
      <c r="A18" s="3" t="s">
        <v>33</v>
      </c>
      <c r="B18" s="11">
        <f>50000/1440</f>
        <v>34.722222222222221</v>
      </c>
      <c r="F18" s="5" t="s">
        <v>34</v>
      </c>
      <c r="G18" s="6" t="s">
        <v>35</v>
      </c>
    </row>
    <row r="19" spans="1:7" x14ac:dyDescent="0.55000000000000004">
      <c r="A19" s="3" t="s">
        <v>36</v>
      </c>
      <c r="B19" s="10">
        <v>1440</v>
      </c>
      <c r="F19" s="5" t="s">
        <v>37</v>
      </c>
      <c r="G19" s="6" t="s">
        <v>38</v>
      </c>
    </row>
    <row r="20" spans="1:7" x14ac:dyDescent="0.55000000000000004">
      <c r="A20" s="3" t="s">
        <v>39</v>
      </c>
      <c r="B20" s="4">
        <v>25000</v>
      </c>
      <c r="F20" s="5" t="s">
        <v>40</v>
      </c>
      <c r="G20" s="6" t="s">
        <v>32</v>
      </c>
    </row>
    <row r="21" spans="1:7" x14ac:dyDescent="0.55000000000000004">
      <c r="A21" s="3" t="s">
        <v>41</v>
      </c>
      <c r="B21" s="11">
        <f>25000/1440</f>
        <v>17.361111111111111</v>
      </c>
      <c r="F21" s="5" t="s">
        <v>34</v>
      </c>
      <c r="G21" s="6" t="s">
        <v>42</v>
      </c>
    </row>
    <row r="22" spans="1:7" x14ac:dyDescent="0.55000000000000004">
      <c r="A22" s="3" t="s">
        <v>43</v>
      </c>
      <c r="B22" s="9">
        <v>4</v>
      </c>
      <c r="F22" s="5" t="s">
        <v>44</v>
      </c>
      <c r="G22" s="6" t="s">
        <v>38</v>
      </c>
    </row>
    <row r="23" spans="1:7" x14ac:dyDescent="0.55000000000000004">
      <c r="A23" s="3" t="s">
        <v>45</v>
      </c>
      <c r="B23" s="9">
        <v>64</v>
      </c>
      <c r="F23" s="5" t="s">
        <v>19</v>
      </c>
      <c r="G23" s="6" t="s">
        <v>46</v>
      </c>
    </row>
    <row r="25" spans="1:7" x14ac:dyDescent="0.55000000000000004">
      <c r="A25" s="31" t="s">
        <v>47</v>
      </c>
      <c r="B25" s="30"/>
      <c r="C25" s="30"/>
      <c r="D25" s="30"/>
      <c r="E25" s="30"/>
      <c r="F25" s="30"/>
      <c r="G25" s="30"/>
    </row>
    <row r="26" spans="1:7" x14ac:dyDescent="0.55000000000000004">
      <c r="A26" s="1" t="s">
        <v>3</v>
      </c>
      <c r="B26" s="2" t="s">
        <v>4</v>
      </c>
      <c r="C26" s="2" t="s">
        <v>5</v>
      </c>
      <c r="D26" s="2" t="s">
        <v>6</v>
      </c>
      <c r="F26" s="1" t="s">
        <v>7</v>
      </c>
      <c r="G26" s="1" t="s">
        <v>48</v>
      </c>
    </row>
    <row r="27" spans="1:7" x14ac:dyDescent="0.55000000000000004">
      <c r="A27" s="3" t="s">
        <v>49</v>
      </c>
      <c r="B27" s="12">
        <v>10</v>
      </c>
      <c r="C27" s="12">
        <v>20</v>
      </c>
      <c r="D27" s="12">
        <v>30</v>
      </c>
      <c r="F27" s="5" t="s">
        <v>19</v>
      </c>
      <c r="G27" s="6" t="s">
        <v>50</v>
      </c>
    </row>
    <row r="28" spans="1:7" x14ac:dyDescent="0.55000000000000004">
      <c r="A28" s="13" t="s">
        <v>51</v>
      </c>
      <c r="B28" s="14">
        <f>BEDS_TOM+BEDS_CAR+BEDS_MES</f>
        <v>60</v>
      </c>
      <c r="F28" s="13" t="s">
        <v>19</v>
      </c>
    </row>
    <row r="30" spans="1:7" x14ac:dyDescent="0.55000000000000004">
      <c r="A30" s="31" t="s">
        <v>52</v>
      </c>
      <c r="B30" s="30"/>
      <c r="C30" s="30"/>
      <c r="D30" s="30"/>
      <c r="E30" s="30"/>
      <c r="F30" s="30"/>
      <c r="G30" s="30"/>
    </row>
    <row r="31" spans="1:7" x14ac:dyDescent="0.55000000000000004">
      <c r="A31" s="1" t="s">
        <v>3</v>
      </c>
      <c r="B31" s="2" t="s">
        <v>4</v>
      </c>
      <c r="C31" s="2" t="s">
        <v>5</v>
      </c>
      <c r="D31" s="2" t="s">
        <v>6</v>
      </c>
      <c r="E31" s="2" t="s">
        <v>53</v>
      </c>
      <c r="G31" s="1" t="s">
        <v>54</v>
      </c>
    </row>
    <row r="32" spans="1:7" x14ac:dyDescent="0.55000000000000004">
      <c r="A32" s="3" t="s">
        <v>55</v>
      </c>
      <c r="B32" s="15">
        <f>ROUND(BEDS_TOM*TOM_HRS*WEEKS*(1+TOM_DIM_PCT)^BEDS_TOM*60,0)/60</f>
        <v>2334.3666666666668</v>
      </c>
      <c r="C32" s="15">
        <f>ROUND(BEDS_CAR*CAR_HRS*WEEKS*(1+CAR_DIM_PCT)^BEDS_CAR*60,0)/60</f>
        <v>983.16666666666663</v>
      </c>
      <c r="D32" s="15">
        <f>ROUND(BEDS_MES*MES_HRS*WEEKS*(1+MES_DIM_PCT)^BEDS_MES*60,0)/60</f>
        <v>1959.6833333333334</v>
      </c>
      <c r="E32" s="16">
        <f>SUM(B32:D32)</f>
        <v>5277.2166666666672</v>
      </c>
      <c r="G32" s="6" t="s">
        <v>56</v>
      </c>
    </row>
    <row r="34" spans="1:7" x14ac:dyDescent="0.55000000000000004">
      <c r="A34" s="31" t="s">
        <v>57</v>
      </c>
      <c r="B34" s="30"/>
      <c r="C34" s="30"/>
      <c r="D34" s="30"/>
      <c r="E34" s="30"/>
      <c r="F34" s="30"/>
      <c r="G34" s="30"/>
    </row>
    <row r="35" spans="1:7" x14ac:dyDescent="0.55000000000000004">
      <c r="A35" s="1" t="s">
        <v>58</v>
      </c>
      <c r="B35" s="1" t="s">
        <v>59</v>
      </c>
      <c r="C35" s="1" t="s">
        <v>60</v>
      </c>
      <c r="D35" s="1" t="s">
        <v>61</v>
      </c>
    </row>
    <row r="36" spans="1:7" x14ac:dyDescent="0.55000000000000004">
      <c r="A36" s="5" t="s">
        <v>62</v>
      </c>
      <c r="B36" s="15">
        <f>ROUND(1*TOM_HRS*WEEKS*(1+TOM_DIM_PCT)^1*60,0)/60</f>
        <v>99</v>
      </c>
      <c r="C36" s="17">
        <v>99</v>
      </c>
      <c r="D36" s="18" t="b">
        <f>B36=C36</f>
        <v>1</v>
      </c>
    </row>
    <row r="37" spans="1:7" x14ac:dyDescent="0.55000000000000004">
      <c r="A37" s="5" t="s">
        <v>63</v>
      </c>
      <c r="B37" s="15">
        <f>ROUND(10*TOM_HRS*WEEKS*(1+TOM_DIM_PCT)^10*60,0)/60</f>
        <v>2334.3666666666668</v>
      </c>
      <c r="C37" s="17">
        <v>2334.3667</v>
      </c>
      <c r="D37" s="18" t="b">
        <f>ROUND(B37,2)=ROUND(C37,2)</f>
        <v>1</v>
      </c>
    </row>
    <row r="38" spans="1:7" x14ac:dyDescent="0.55000000000000004">
      <c r="A38" s="5" t="s">
        <v>64</v>
      </c>
      <c r="B38" s="19">
        <f>1*TOM_PRICE</f>
        <v>8800</v>
      </c>
      <c r="C38" s="20">
        <v>8800</v>
      </c>
      <c r="D38" s="18" t="b">
        <f>B38=C38</f>
        <v>1</v>
      </c>
    </row>
    <row r="39" spans="1:7" x14ac:dyDescent="0.55000000000000004">
      <c r="A39" s="5" t="s">
        <v>65</v>
      </c>
      <c r="B39" s="21">
        <f>ROUND(MIN(B36,FARMER_HRS_CAP)*FARMER_RATE,1)</f>
        <v>3437.5</v>
      </c>
      <c r="C39" s="22">
        <v>3437.5</v>
      </c>
      <c r="D39" s="18" t="b">
        <f>B39=C39</f>
        <v>1</v>
      </c>
    </row>
    <row r="41" spans="1:7" x14ac:dyDescent="0.55000000000000004">
      <c r="A41" s="31" t="s">
        <v>66</v>
      </c>
      <c r="B41" s="30"/>
      <c r="C41" s="30"/>
      <c r="D41" s="30"/>
      <c r="E41" s="30"/>
      <c r="F41" s="30"/>
      <c r="G41" s="30"/>
    </row>
    <row r="42" spans="1:7" x14ac:dyDescent="0.55000000000000004">
      <c r="A42" s="1" t="s">
        <v>3</v>
      </c>
      <c r="B42" s="1" t="s">
        <v>21</v>
      </c>
      <c r="F42" s="1" t="s">
        <v>7</v>
      </c>
      <c r="G42" s="1" t="s">
        <v>54</v>
      </c>
    </row>
    <row r="43" spans="1:7" x14ac:dyDescent="0.55000000000000004">
      <c r="A43" s="3" t="s">
        <v>67</v>
      </c>
      <c r="B43" s="15">
        <f>MIN(LABOR_HRS_TOTAL,FARMER_HRS_CAP)</f>
        <v>720</v>
      </c>
      <c r="F43" s="5" t="s">
        <v>68</v>
      </c>
      <c r="G43" s="6" t="s">
        <v>69</v>
      </c>
    </row>
    <row r="44" spans="1:7" x14ac:dyDescent="0.55000000000000004">
      <c r="A44" s="3" t="s">
        <v>70</v>
      </c>
      <c r="B44" s="15">
        <f>MAX(0,LABOR_HRS_TOTAL-FARMER_HRS_CAP)</f>
        <v>4557.2166666666672</v>
      </c>
      <c r="F44" s="5" t="s">
        <v>68</v>
      </c>
      <c r="G44" s="6" t="s">
        <v>71</v>
      </c>
    </row>
    <row r="45" spans="1:7" x14ac:dyDescent="0.55000000000000004">
      <c r="A45" s="3" t="s">
        <v>72</v>
      </c>
      <c r="B45" s="21">
        <f>ROUND(FARMER_HRS_USED*FARMER_RATE,1)</f>
        <v>25000</v>
      </c>
      <c r="F45" s="5" t="s">
        <v>73</v>
      </c>
      <c r="G45" s="6" t="s">
        <v>74</v>
      </c>
    </row>
    <row r="46" spans="1:7" x14ac:dyDescent="0.55000000000000004">
      <c r="A46" s="3" t="s">
        <v>75</v>
      </c>
      <c r="B46" s="21">
        <f>ROUND(EXCESS_HRS*TEMP_RATE,1)</f>
        <v>79118.3</v>
      </c>
      <c r="F46" s="5" t="s">
        <v>73</v>
      </c>
      <c r="G46" s="6" t="s">
        <v>76</v>
      </c>
    </row>
    <row r="47" spans="1:7" x14ac:dyDescent="0.55000000000000004">
      <c r="A47" s="3" t="s">
        <v>77</v>
      </c>
      <c r="B47" s="21">
        <f>FARMER_COST+TEMP_COST</f>
        <v>104118.3</v>
      </c>
      <c r="F47" s="5" t="s">
        <v>73</v>
      </c>
      <c r="G47" s="6" t="s">
        <v>78</v>
      </c>
    </row>
    <row r="48" spans="1:7" x14ac:dyDescent="0.55000000000000004">
      <c r="A48" s="3" t="s">
        <v>79</v>
      </c>
      <c r="B48" s="23">
        <f>IF(EXCESS_HRS&lt;=0,0,ROUNDUP(EXCESS_HRS/WORKER_HRS_CAP,0))</f>
        <v>4</v>
      </c>
      <c r="F48" s="5" t="s">
        <v>44</v>
      </c>
      <c r="G48" s="6" t="s">
        <v>80</v>
      </c>
    </row>
    <row r="50" spans="1:7" x14ac:dyDescent="0.55000000000000004">
      <c r="A50" s="31" t="s">
        <v>81</v>
      </c>
      <c r="B50" s="30"/>
      <c r="C50" s="30"/>
      <c r="D50" s="30"/>
      <c r="E50" s="30"/>
      <c r="F50" s="30"/>
      <c r="G50" s="30"/>
    </row>
    <row r="51" spans="1:7" x14ac:dyDescent="0.55000000000000004">
      <c r="A51" s="1" t="s">
        <v>3</v>
      </c>
      <c r="B51" s="2" t="s">
        <v>4</v>
      </c>
      <c r="C51" s="2" t="s">
        <v>5</v>
      </c>
      <c r="D51" s="2" t="s">
        <v>6</v>
      </c>
      <c r="E51" s="2" t="s">
        <v>53</v>
      </c>
      <c r="G51" s="1" t="s">
        <v>54</v>
      </c>
    </row>
    <row r="52" spans="1:7" x14ac:dyDescent="0.55000000000000004">
      <c r="A52" s="3" t="s">
        <v>82</v>
      </c>
      <c r="B52" s="19">
        <f>BEDS_TOM*TOM_PRICE</f>
        <v>88000</v>
      </c>
      <c r="C52" s="19">
        <f>BEDS_CAR*CAR_PRICE</f>
        <v>41880</v>
      </c>
      <c r="D52" s="19">
        <f>BEDS_MES*MES_PRICE</f>
        <v>81000</v>
      </c>
      <c r="E52" s="24">
        <f>SUM(B52:D52)</f>
        <v>210880</v>
      </c>
      <c r="G52" s="6" t="s">
        <v>83</v>
      </c>
    </row>
    <row r="53" spans="1:7" x14ac:dyDescent="0.55000000000000004">
      <c r="A53" s="3" t="s">
        <v>84</v>
      </c>
      <c r="B53" s="19">
        <f>BEDS_TOM*TOM_FERT_COST</f>
        <v>8800</v>
      </c>
      <c r="C53" s="19">
        <f>BEDS_CAR*CAR_FERT_COST</f>
        <v>8800</v>
      </c>
      <c r="D53" s="19">
        <f>BEDS_MES*MES_FERT_COST</f>
        <v>26400</v>
      </c>
      <c r="E53" s="24">
        <f>ROUND(SUM(B53:D53),1)</f>
        <v>44000</v>
      </c>
      <c r="G53" s="6" t="s">
        <v>85</v>
      </c>
    </row>
    <row r="54" spans="1:7" x14ac:dyDescent="0.55000000000000004">
      <c r="A54" s="3" t="s">
        <v>86</v>
      </c>
      <c r="B54" s="25">
        <f>ROUND(FIXED_COST+FERT_COST+LABOR_COST,1)</f>
        <v>168118.3</v>
      </c>
      <c r="F54" s="5" t="s">
        <v>73</v>
      </c>
      <c r="G54" s="6" t="s">
        <v>87</v>
      </c>
    </row>
    <row r="55" spans="1:7" x14ac:dyDescent="0.55000000000000004">
      <c r="A55" s="3" t="s">
        <v>88</v>
      </c>
      <c r="B55" s="25">
        <f>ROUND(TOTAL_REVENUE-TOTAL_COST,1)</f>
        <v>42761.7</v>
      </c>
      <c r="F55" s="5" t="s">
        <v>73</v>
      </c>
      <c r="G55" s="6" t="s">
        <v>89</v>
      </c>
    </row>
    <row r="57" spans="1:7" x14ac:dyDescent="0.55000000000000004">
      <c r="A57" s="31" t="s">
        <v>90</v>
      </c>
      <c r="B57" s="30"/>
      <c r="C57" s="30"/>
      <c r="D57" s="30"/>
      <c r="E57" s="30"/>
      <c r="F57" s="30"/>
      <c r="G57" s="30"/>
    </row>
    <row r="58" spans="1:7" x14ac:dyDescent="0.55000000000000004">
      <c r="A58" s="1" t="s">
        <v>91</v>
      </c>
      <c r="B58" s="1" t="s">
        <v>92</v>
      </c>
      <c r="G58" s="1" t="s">
        <v>93</v>
      </c>
    </row>
    <row r="59" spans="1:7" x14ac:dyDescent="0.55000000000000004">
      <c r="A59" s="5" t="s">
        <v>94</v>
      </c>
      <c r="B59" s="18" t="b">
        <f>BEDS_PLANTED&lt;=BEDS_TOTAL</f>
        <v>1</v>
      </c>
      <c r="G59" s="6" t="s">
        <v>95</v>
      </c>
    </row>
    <row r="60" spans="1:7" x14ac:dyDescent="0.55000000000000004">
      <c r="A60" s="5" t="s">
        <v>96</v>
      </c>
      <c r="B60" s="18" t="b">
        <f>BEDS_TOM&lt;=TOM_MAXBED</f>
        <v>1</v>
      </c>
      <c r="G60" s="6" t="s">
        <v>97</v>
      </c>
    </row>
    <row r="61" spans="1:7" x14ac:dyDescent="0.55000000000000004">
      <c r="A61" s="5" t="s">
        <v>98</v>
      </c>
      <c r="B61" s="18" t="b">
        <f>BEDS_CAR&lt;=CAR_MAXBED</f>
        <v>1</v>
      </c>
      <c r="G61" s="6" t="s">
        <v>99</v>
      </c>
    </row>
    <row r="62" spans="1:7" x14ac:dyDescent="0.55000000000000004">
      <c r="A62" s="5" t="s">
        <v>100</v>
      </c>
      <c r="B62" s="18" t="b">
        <f>BEDS_MES&lt;=MES_MAXBED</f>
        <v>1</v>
      </c>
      <c r="G62" s="6" t="s">
        <v>101</v>
      </c>
    </row>
    <row r="63" spans="1:7" x14ac:dyDescent="0.55000000000000004">
      <c r="A63" s="5" t="s">
        <v>102</v>
      </c>
      <c r="B63" s="18" t="b">
        <f>LABOR_HRS_TOTAL&lt;=(FARMER_HRS_CAP+WORKER_MAX*WORKER_HRS_CAP)</f>
        <v>1</v>
      </c>
      <c r="G63" s="6" t="s">
        <v>103</v>
      </c>
    </row>
    <row r="64" spans="1:7" x14ac:dyDescent="0.55000000000000004">
      <c r="A64" s="5" t="s">
        <v>104</v>
      </c>
      <c r="B64" s="18" t="b">
        <f>N_WORKERS_NEEDED&lt;=WORKER_MAX</f>
        <v>1</v>
      </c>
      <c r="G64" s="6" t="s">
        <v>105</v>
      </c>
    </row>
    <row r="65" spans="1:7" x14ac:dyDescent="0.55000000000000004">
      <c r="A65" s="5" t="s">
        <v>106</v>
      </c>
      <c r="B65" s="18" t="b">
        <f>AND(BEDS_TOM=INT(BEDS_TOM),BEDS_CAR=INT(BEDS_CAR),BEDS_MES=INT(BEDS_MES))</f>
        <v>1</v>
      </c>
      <c r="G65" s="6" t="s">
        <v>107</v>
      </c>
    </row>
    <row r="66" spans="1:7" x14ac:dyDescent="0.55000000000000004">
      <c r="A66" s="5" t="s">
        <v>108</v>
      </c>
      <c r="B66" s="18" t="b">
        <f>ABS((TOTAL_REVENUE-FIXED_COST-FERT_COST-LABOR_COST)-PROFIT)&lt;0.005</f>
        <v>1</v>
      </c>
      <c r="G66" s="6" t="s">
        <v>109</v>
      </c>
    </row>
    <row r="67" spans="1:7" x14ac:dyDescent="0.55000000000000004">
      <c r="A67" s="5" t="s">
        <v>110</v>
      </c>
      <c r="B67" s="18" t="b">
        <f>AND(D36:D39)</f>
        <v>1</v>
      </c>
      <c r="G67" s="6" t="s">
        <v>111</v>
      </c>
    </row>
    <row r="68" spans="1:7" x14ac:dyDescent="0.55000000000000004">
      <c r="A68" s="3" t="s">
        <v>112</v>
      </c>
      <c r="B68" s="26" t="b">
        <f>AND(B59:B67)</f>
        <v>1</v>
      </c>
      <c r="G68" s="6" t="s">
        <v>113</v>
      </c>
    </row>
    <row r="70" spans="1:7" x14ac:dyDescent="0.55000000000000004">
      <c r="A70" s="31" t="s">
        <v>114</v>
      </c>
      <c r="B70" s="30"/>
      <c r="C70" s="30"/>
      <c r="D70" s="30"/>
      <c r="E70" s="30"/>
      <c r="F70" s="30"/>
      <c r="G70" s="30"/>
    </row>
    <row r="71" spans="1:7" x14ac:dyDescent="0.55000000000000004">
      <c r="A71" s="1" t="s">
        <v>3</v>
      </c>
      <c r="B71" s="1" t="s">
        <v>21</v>
      </c>
      <c r="F71" s="1" t="s">
        <v>7</v>
      </c>
    </row>
    <row r="72" spans="1:7" x14ac:dyDescent="0.55000000000000004">
      <c r="A72" s="5" t="s">
        <v>115</v>
      </c>
      <c r="B72" s="23">
        <f>BEDS_TOM</f>
        <v>10</v>
      </c>
      <c r="F72" s="5" t="s">
        <v>19</v>
      </c>
    </row>
    <row r="73" spans="1:7" x14ac:dyDescent="0.55000000000000004">
      <c r="A73" s="5" t="s">
        <v>116</v>
      </c>
      <c r="B73" s="23">
        <f>BEDS_CAR</f>
        <v>20</v>
      </c>
      <c r="F73" s="5" t="s">
        <v>19</v>
      </c>
    </row>
    <row r="74" spans="1:7" x14ac:dyDescent="0.55000000000000004">
      <c r="A74" s="5" t="s">
        <v>117</v>
      </c>
      <c r="B74" s="23">
        <f>BEDS_MES</f>
        <v>30</v>
      </c>
      <c r="F74" s="5" t="s">
        <v>19</v>
      </c>
    </row>
    <row r="75" spans="1:7" x14ac:dyDescent="0.55000000000000004">
      <c r="A75" s="5" t="s">
        <v>118</v>
      </c>
      <c r="B75" s="23">
        <f>N_WORKERS_NEEDED</f>
        <v>4</v>
      </c>
      <c r="F75" s="5" t="s">
        <v>44</v>
      </c>
    </row>
    <row r="76" spans="1:7" x14ac:dyDescent="0.55000000000000004">
      <c r="A76" s="5" t="s">
        <v>119</v>
      </c>
      <c r="B76" s="21">
        <f>FARMER_COST</f>
        <v>25000</v>
      </c>
      <c r="F76" s="5" t="s">
        <v>73</v>
      </c>
    </row>
    <row r="77" spans="1:7" x14ac:dyDescent="0.55000000000000004">
      <c r="A77" s="5" t="s">
        <v>120</v>
      </c>
      <c r="B77" s="21">
        <f>TEMP_COST</f>
        <v>79118.3</v>
      </c>
      <c r="F77" s="5" t="s">
        <v>73</v>
      </c>
    </row>
    <row r="78" spans="1:7" x14ac:dyDescent="0.55000000000000004">
      <c r="A78" s="5" t="s">
        <v>121</v>
      </c>
      <c r="B78" s="19">
        <f>TOTAL_REVENUE</f>
        <v>210880</v>
      </c>
      <c r="F78" s="5" t="s">
        <v>73</v>
      </c>
    </row>
    <row r="79" spans="1:7" x14ac:dyDescent="0.55000000000000004">
      <c r="A79" s="3" t="s">
        <v>122</v>
      </c>
      <c r="B79" s="25">
        <f>PROFIT</f>
        <v>42761.7</v>
      </c>
      <c r="F79" s="5" t="s">
        <v>73</v>
      </c>
    </row>
    <row r="82" spans="1:7" x14ac:dyDescent="0.55000000000000004">
      <c r="A82" s="31" t="s">
        <v>123</v>
      </c>
      <c r="B82" s="30"/>
      <c r="C82" s="30"/>
      <c r="D82" s="30"/>
      <c r="E82" s="30"/>
      <c r="F82" s="30"/>
      <c r="G82" s="30"/>
    </row>
    <row r="83" spans="1:7" x14ac:dyDescent="0.55000000000000004">
      <c r="A83" s="29" t="s">
        <v>124</v>
      </c>
      <c r="B83" s="30"/>
      <c r="C83" s="30"/>
      <c r="D83" s="30"/>
      <c r="E83" s="30"/>
      <c r="F83" s="30"/>
      <c r="G83" s="30"/>
    </row>
    <row r="84" spans="1:7" x14ac:dyDescent="0.55000000000000004">
      <c r="A84" s="29" t="s">
        <v>125</v>
      </c>
      <c r="B84" s="30"/>
      <c r="C84" s="30"/>
      <c r="D84" s="30"/>
      <c r="E84" s="30"/>
      <c r="F84" s="30"/>
      <c r="G84" s="30"/>
    </row>
    <row r="85" spans="1:7" x14ac:dyDescent="0.55000000000000004">
      <c r="A85" s="29" t="s">
        <v>126</v>
      </c>
      <c r="B85" s="30"/>
      <c r="C85" s="30"/>
      <c r="D85" s="30"/>
      <c r="E85" s="30"/>
      <c r="F85" s="30"/>
      <c r="G85" s="30"/>
    </row>
    <row r="86" spans="1:7" x14ac:dyDescent="0.55000000000000004">
      <c r="A86" s="29" t="s">
        <v>127</v>
      </c>
      <c r="B86" s="30"/>
      <c r="C86" s="30"/>
      <c r="D86" s="30"/>
      <c r="E86" s="30"/>
      <c r="F86" s="30"/>
      <c r="G86" s="30"/>
    </row>
    <row r="87" spans="1:7" x14ac:dyDescent="0.55000000000000004">
      <c r="A87" s="29" t="s">
        <v>128</v>
      </c>
      <c r="B87" s="30"/>
      <c r="C87" s="30"/>
      <c r="D87" s="30"/>
      <c r="E87" s="30"/>
      <c r="F87" s="30"/>
      <c r="G87" s="30"/>
    </row>
    <row r="88" spans="1:7" x14ac:dyDescent="0.55000000000000004">
      <c r="A88" s="29" t="s">
        <v>129</v>
      </c>
      <c r="B88" s="30"/>
      <c r="C88" s="30"/>
      <c r="D88" s="30"/>
      <c r="E88" s="30"/>
      <c r="F88" s="30"/>
      <c r="G88" s="30"/>
    </row>
    <row r="89" spans="1:7" x14ac:dyDescent="0.55000000000000004">
      <c r="A89" s="29" t="s">
        <v>130</v>
      </c>
      <c r="B89" s="30"/>
      <c r="C89" s="30"/>
      <c r="D89" s="30"/>
      <c r="E89" s="30"/>
      <c r="F89" s="30"/>
      <c r="G89" s="30"/>
    </row>
    <row r="90" spans="1:7" x14ac:dyDescent="0.55000000000000004">
      <c r="A90" s="29" t="s">
        <v>131</v>
      </c>
      <c r="B90" s="30"/>
      <c r="C90" s="30"/>
      <c r="D90" s="30"/>
      <c r="E90" s="30"/>
      <c r="F90" s="30"/>
      <c r="G90" s="30"/>
    </row>
    <row r="91" spans="1:7" x14ac:dyDescent="0.55000000000000004">
      <c r="A91" s="29" t="s">
        <v>132</v>
      </c>
      <c r="B91" s="30"/>
      <c r="C91" s="30"/>
      <c r="D91" s="30"/>
      <c r="E91" s="30"/>
      <c r="F91" s="30"/>
      <c r="G91" s="30"/>
    </row>
    <row r="92" spans="1:7" x14ac:dyDescent="0.55000000000000004">
      <c r="A92" s="29" t="s">
        <v>133</v>
      </c>
      <c r="B92" s="30"/>
      <c r="C92" s="30"/>
      <c r="D92" s="30"/>
      <c r="E92" s="30"/>
      <c r="F92" s="30"/>
      <c r="G92" s="30"/>
    </row>
    <row r="93" spans="1:7" x14ac:dyDescent="0.55000000000000004">
      <c r="A93" s="29" t="s">
        <v>134</v>
      </c>
      <c r="B93" s="30"/>
      <c r="C93" s="30"/>
      <c r="D93" s="30"/>
      <c r="E93" s="30"/>
      <c r="F93" s="30"/>
      <c r="G93" s="30"/>
    </row>
    <row r="94" spans="1:7" x14ac:dyDescent="0.55000000000000004">
      <c r="A94" s="29" t="s">
        <v>135</v>
      </c>
      <c r="B94" s="30"/>
      <c r="C94" s="30"/>
      <c r="D94" s="30"/>
      <c r="E94" s="30"/>
      <c r="F94" s="30"/>
      <c r="G94" s="30"/>
    </row>
    <row r="95" spans="1:7" x14ac:dyDescent="0.55000000000000004">
      <c r="A95" s="29" t="s">
        <v>136</v>
      </c>
      <c r="B95" s="30"/>
      <c r="C95" s="30"/>
      <c r="D95" s="30"/>
      <c r="E95" s="30"/>
      <c r="F95" s="30"/>
      <c r="G95" s="30"/>
    </row>
    <row r="96" spans="1:7" x14ac:dyDescent="0.55000000000000004">
      <c r="A96" s="29" t="s">
        <v>137</v>
      </c>
      <c r="B96" s="30"/>
      <c r="C96" s="30"/>
      <c r="D96" s="30"/>
      <c r="E96" s="30"/>
      <c r="F96" s="30"/>
      <c r="G96" s="30"/>
    </row>
    <row r="97" spans="1:7" x14ac:dyDescent="0.55000000000000004">
      <c r="A97" s="29" t="s">
        <v>138</v>
      </c>
      <c r="B97" s="30"/>
      <c r="C97" s="30"/>
      <c r="D97" s="30"/>
      <c r="E97" s="30"/>
      <c r="F97" s="30"/>
      <c r="G97" s="30"/>
    </row>
    <row r="98" spans="1:7" x14ac:dyDescent="0.55000000000000004">
      <c r="A98" s="29" t="s">
        <v>139</v>
      </c>
      <c r="B98" s="30"/>
      <c r="C98" s="30"/>
      <c r="D98" s="30"/>
      <c r="E98" s="30"/>
      <c r="F98" s="30"/>
      <c r="G98" s="30"/>
    </row>
    <row r="99" spans="1:7" x14ac:dyDescent="0.55000000000000004">
      <c r="A99" s="29" t="s">
        <v>140</v>
      </c>
      <c r="B99" s="30"/>
      <c r="C99" s="30"/>
      <c r="D99" s="30"/>
      <c r="E99" s="30"/>
      <c r="F99" s="30"/>
      <c r="G99" s="30"/>
    </row>
    <row r="100" spans="1:7" x14ac:dyDescent="0.55000000000000004">
      <c r="A100" s="29" t="s">
        <v>141</v>
      </c>
      <c r="B100" s="30"/>
      <c r="C100" s="30"/>
      <c r="D100" s="30"/>
      <c r="E100" s="30"/>
      <c r="F100" s="30"/>
      <c r="G100" s="30"/>
    </row>
    <row r="101" spans="1:7" x14ac:dyDescent="0.55000000000000004">
      <c r="A101" s="29" t="s">
        <v>142</v>
      </c>
      <c r="B101" s="30"/>
      <c r="C101" s="30"/>
      <c r="D101" s="30"/>
      <c r="E101" s="30"/>
      <c r="F101" s="30"/>
      <c r="G101" s="30"/>
    </row>
    <row r="102" spans="1:7" x14ac:dyDescent="0.55000000000000004">
      <c r="A102" s="29" t="s">
        <v>143</v>
      </c>
      <c r="B102" s="30"/>
      <c r="C102" s="30"/>
      <c r="D102" s="30"/>
      <c r="E102" s="30"/>
      <c r="F102" s="30"/>
      <c r="G102" s="30"/>
    </row>
    <row r="103" spans="1:7" x14ac:dyDescent="0.55000000000000004">
      <c r="A103" s="29" t="s">
        <v>144</v>
      </c>
      <c r="B103" s="30"/>
      <c r="C103" s="30"/>
      <c r="D103" s="30"/>
      <c r="E103" s="30"/>
      <c r="F103" s="30"/>
      <c r="G103" s="30"/>
    </row>
    <row r="104" spans="1:7" x14ac:dyDescent="0.55000000000000004">
      <c r="A104" s="29" t="s">
        <v>145</v>
      </c>
      <c r="B104" s="30"/>
      <c r="C104" s="30"/>
      <c r="D104" s="30"/>
      <c r="E104" s="30"/>
      <c r="F104" s="30"/>
      <c r="G104" s="30"/>
    </row>
  </sheetData>
  <mergeCells count="34">
    <mergeCell ref="A2:G2"/>
    <mergeCell ref="A86:G86"/>
    <mergeCell ref="A104:G104"/>
    <mergeCell ref="A57:G57"/>
    <mergeCell ref="A85:G85"/>
    <mergeCell ref="A103:G103"/>
    <mergeCell ref="A1:G1"/>
    <mergeCell ref="A88:G88"/>
    <mergeCell ref="A70:G70"/>
    <mergeCell ref="A94:G94"/>
    <mergeCell ref="A87:G87"/>
    <mergeCell ref="A25:G25"/>
    <mergeCell ref="A41:G41"/>
    <mergeCell ref="A90:G90"/>
    <mergeCell ref="A99:G99"/>
    <mergeCell ref="A84:G84"/>
    <mergeCell ref="A89:G89"/>
    <mergeCell ref="A12:G12"/>
    <mergeCell ref="A50:G50"/>
    <mergeCell ref="A95:G95"/>
    <mergeCell ref="A101:G101"/>
    <mergeCell ref="A102:G102"/>
    <mergeCell ref="A34:G34"/>
    <mergeCell ref="A83:G83"/>
    <mergeCell ref="A92:G92"/>
    <mergeCell ref="A30:G30"/>
    <mergeCell ref="A82:G82"/>
    <mergeCell ref="A98:G98"/>
    <mergeCell ref="A97:G97"/>
    <mergeCell ref="A91:G91"/>
    <mergeCell ref="A4:G4"/>
    <mergeCell ref="A100:G100"/>
    <mergeCell ref="A96:G96"/>
    <mergeCell ref="A93:G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"/>
  <sheetViews>
    <sheetView workbookViewId="0"/>
  </sheetViews>
  <sheetFormatPr defaultRowHeight="14.4" x14ac:dyDescent="0.55000000000000004"/>
  <cols>
    <col min="1" max="1" width="10" customWidth="1"/>
    <col min="2" max="6" width="16" customWidth="1"/>
    <col min="7" max="7" width="60" customWidth="1"/>
  </cols>
  <sheetData>
    <row r="1" spans="1:7" ht="17.7" x14ac:dyDescent="0.6">
      <c r="A1" s="32" t="s">
        <v>146</v>
      </c>
      <c r="B1" s="30"/>
      <c r="C1" s="30"/>
      <c r="D1" s="30"/>
      <c r="E1" s="30"/>
      <c r="F1" s="30"/>
      <c r="G1" s="30"/>
    </row>
    <row r="2" spans="1:7" x14ac:dyDescent="0.55000000000000004">
      <c r="A2" s="29" t="s">
        <v>147</v>
      </c>
      <c r="B2" s="30"/>
      <c r="C2" s="30"/>
      <c r="D2" s="30"/>
      <c r="E2" s="30"/>
      <c r="F2" s="30"/>
      <c r="G2" s="30"/>
    </row>
    <row r="4" spans="1:7" x14ac:dyDescent="0.55000000000000004">
      <c r="A4" s="31" t="s">
        <v>148</v>
      </c>
      <c r="B4" s="30"/>
      <c r="C4" s="30"/>
      <c r="D4" s="30"/>
      <c r="E4" s="30"/>
      <c r="F4" s="30"/>
      <c r="G4" s="30"/>
    </row>
    <row r="5" spans="1:7" x14ac:dyDescent="0.55000000000000004">
      <c r="A5" s="1" t="s">
        <v>149</v>
      </c>
      <c r="B5" s="1" t="s">
        <v>150</v>
      </c>
      <c r="C5" s="1" t="s">
        <v>151</v>
      </c>
      <c r="D5" s="1" t="s">
        <v>152</v>
      </c>
      <c r="E5" s="1" t="s">
        <v>153</v>
      </c>
      <c r="F5" s="1"/>
      <c r="G5" s="1"/>
    </row>
    <row r="6" spans="1:7" x14ac:dyDescent="0.55000000000000004">
      <c r="A6" s="5">
        <v>0</v>
      </c>
      <c r="B6" s="15">
        <f t="shared" ref="B6:B26" si="0">ROUND(A6*TOM_HRS*WEEKS*(1+TOM_DIM_PCT)^A6*60,0)/60</f>
        <v>0</v>
      </c>
      <c r="C6" s="21">
        <f t="shared" ref="C6:C26" si="1">ROUND(IF(B6&lt;=FARMER_HRS_CAP,B6*FARMER_RATE,FARMER_HRS_CAP*FARMER_RATE+(B6-FARMER_HRS_CAP)*TEMP_RATE)+A6*TOM_FERT_COST,1)</f>
        <v>0</v>
      </c>
      <c r="D6" s="21">
        <v>0</v>
      </c>
      <c r="E6" s="21">
        <f>MAX($D$6:D6)</f>
        <v>0</v>
      </c>
    </row>
    <row r="7" spans="1:7" x14ac:dyDescent="0.55000000000000004">
      <c r="A7" s="5">
        <v>1</v>
      </c>
      <c r="B7" s="15">
        <f t="shared" si="0"/>
        <v>99</v>
      </c>
      <c r="C7" s="21">
        <f t="shared" si="1"/>
        <v>4317.5</v>
      </c>
      <c r="D7" s="21">
        <f t="shared" ref="D7:D26" si="2">C7-C6</f>
        <v>4317.5</v>
      </c>
      <c r="E7" s="21">
        <f>MAX($D$6:D7)</f>
        <v>4317.5</v>
      </c>
    </row>
    <row r="8" spans="1:7" x14ac:dyDescent="0.55000000000000004">
      <c r="A8" s="5">
        <v>2</v>
      </c>
      <c r="B8" s="15">
        <f t="shared" si="0"/>
        <v>217.8</v>
      </c>
      <c r="C8" s="21">
        <f t="shared" si="1"/>
        <v>9322.5</v>
      </c>
      <c r="D8" s="21">
        <f t="shared" si="2"/>
        <v>5005</v>
      </c>
      <c r="E8" s="21">
        <f>MAX($D$6:D8)</f>
        <v>5005</v>
      </c>
    </row>
    <row r="9" spans="1:7" x14ac:dyDescent="0.55000000000000004">
      <c r="A9" s="5">
        <v>3</v>
      </c>
      <c r="B9" s="15">
        <f t="shared" si="0"/>
        <v>359.36666666666667</v>
      </c>
      <c r="C9" s="21">
        <f t="shared" si="1"/>
        <v>15118</v>
      </c>
      <c r="D9" s="21">
        <f t="shared" si="2"/>
        <v>5795.5</v>
      </c>
      <c r="E9" s="21">
        <f>MAX($D$6:D9)</f>
        <v>5795.5</v>
      </c>
    </row>
    <row r="10" spans="1:7" x14ac:dyDescent="0.55000000000000004">
      <c r="A10" s="5">
        <v>4</v>
      </c>
      <c r="B10" s="15">
        <f t="shared" si="0"/>
        <v>527.08333333333337</v>
      </c>
      <c r="C10" s="21">
        <f t="shared" si="1"/>
        <v>21821.5</v>
      </c>
      <c r="D10" s="21">
        <f t="shared" si="2"/>
        <v>6703.5</v>
      </c>
      <c r="E10" s="21">
        <f>MAX($D$6:D10)</f>
        <v>6703.5</v>
      </c>
    </row>
    <row r="11" spans="1:7" x14ac:dyDescent="0.55000000000000004">
      <c r="A11" s="5">
        <v>5</v>
      </c>
      <c r="B11" s="15">
        <f t="shared" si="0"/>
        <v>724.73333333333335</v>
      </c>
      <c r="C11" s="21">
        <f t="shared" si="1"/>
        <v>29482.2</v>
      </c>
      <c r="D11" s="21">
        <f t="shared" si="2"/>
        <v>7660.7000000000007</v>
      </c>
      <c r="E11" s="21">
        <f>MAX($D$6:D11)</f>
        <v>7660.7000000000007</v>
      </c>
    </row>
    <row r="12" spans="1:7" x14ac:dyDescent="0.55000000000000004">
      <c r="A12" s="5">
        <v>6</v>
      </c>
      <c r="B12" s="15">
        <f t="shared" si="0"/>
        <v>956.65</v>
      </c>
      <c r="C12" s="21">
        <f t="shared" si="1"/>
        <v>34388.5</v>
      </c>
      <c r="D12" s="21">
        <f t="shared" si="2"/>
        <v>4906.2999999999993</v>
      </c>
      <c r="E12" s="21">
        <f>MAX($D$6:D12)</f>
        <v>7660.7000000000007</v>
      </c>
    </row>
    <row r="13" spans="1:7" x14ac:dyDescent="0.55000000000000004">
      <c r="A13" s="5">
        <v>7</v>
      </c>
      <c r="B13" s="15">
        <f t="shared" si="0"/>
        <v>1227.7</v>
      </c>
      <c r="C13" s="21">
        <f t="shared" si="1"/>
        <v>39974.199999999997</v>
      </c>
      <c r="D13" s="21">
        <f t="shared" si="2"/>
        <v>5585.6999999999971</v>
      </c>
      <c r="E13" s="21">
        <f>MAX($D$6:D13)</f>
        <v>7660.7000000000007</v>
      </c>
    </row>
    <row r="14" spans="1:7" x14ac:dyDescent="0.55000000000000004">
      <c r="A14" s="5">
        <v>8</v>
      </c>
      <c r="B14" s="15">
        <f t="shared" si="0"/>
        <v>1543.3833333333334</v>
      </c>
      <c r="C14" s="21">
        <f t="shared" si="1"/>
        <v>46334.8</v>
      </c>
      <c r="D14" s="21">
        <f t="shared" si="2"/>
        <v>6360.6000000000058</v>
      </c>
      <c r="E14" s="21">
        <f>MAX($D$6:D14)</f>
        <v>7660.7000000000007</v>
      </c>
    </row>
    <row r="15" spans="1:7" x14ac:dyDescent="0.55000000000000004">
      <c r="A15" s="5">
        <v>9</v>
      </c>
      <c r="B15" s="15">
        <f t="shared" si="0"/>
        <v>1909.9333333333334</v>
      </c>
      <c r="C15" s="21">
        <f t="shared" si="1"/>
        <v>53578.6</v>
      </c>
      <c r="D15" s="21">
        <f t="shared" si="2"/>
        <v>7243.7999999999956</v>
      </c>
      <c r="E15" s="21">
        <f>MAX($D$6:D15)</f>
        <v>7660.7000000000007</v>
      </c>
    </row>
    <row r="16" spans="1:7" x14ac:dyDescent="0.55000000000000004">
      <c r="A16" s="5">
        <v>10</v>
      </c>
      <c r="B16" s="15">
        <f t="shared" si="0"/>
        <v>2334.3666666666668</v>
      </c>
      <c r="C16" s="21">
        <f t="shared" si="1"/>
        <v>61827.199999999997</v>
      </c>
      <c r="D16" s="21">
        <f t="shared" si="2"/>
        <v>8248.5999999999985</v>
      </c>
      <c r="E16" s="21">
        <f>MAX($D$6:D16)</f>
        <v>8248.5999999999985</v>
      </c>
    </row>
    <row r="17" spans="1:7" x14ac:dyDescent="0.55000000000000004">
      <c r="A17" s="5">
        <v>11</v>
      </c>
      <c r="B17" s="15">
        <f t="shared" si="0"/>
        <v>2824.5833333333335</v>
      </c>
      <c r="C17" s="21">
        <f t="shared" si="1"/>
        <v>71217.899999999994</v>
      </c>
      <c r="D17" s="21">
        <f t="shared" si="2"/>
        <v>9390.6999999999971</v>
      </c>
      <c r="E17" s="21">
        <f>MAX($D$6:D17)</f>
        <v>9390.6999999999971</v>
      </c>
    </row>
    <row r="18" spans="1:7" x14ac:dyDescent="0.55000000000000004">
      <c r="A18" s="5">
        <v>12</v>
      </c>
      <c r="B18" s="15">
        <f t="shared" si="0"/>
        <v>3389.5</v>
      </c>
      <c r="C18" s="21">
        <f t="shared" si="1"/>
        <v>81905.5</v>
      </c>
      <c r="D18" s="21">
        <f t="shared" si="2"/>
        <v>10687.600000000006</v>
      </c>
      <c r="E18" s="21">
        <f>MAX($D$6:D18)</f>
        <v>10687.600000000006</v>
      </c>
    </row>
    <row r="19" spans="1:7" x14ac:dyDescent="0.55000000000000004">
      <c r="A19" s="5">
        <v>13</v>
      </c>
      <c r="B19" s="15">
        <f t="shared" si="0"/>
        <v>4039.15</v>
      </c>
      <c r="C19" s="21">
        <f t="shared" si="1"/>
        <v>94064.1</v>
      </c>
      <c r="D19" s="21">
        <f t="shared" si="2"/>
        <v>12158.600000000006</v>
      </c>
      <c r="E19" s="21">
        <f>MAX($D$6:D19)</f>
        <v>12158.600000000006</v>
      </c>
    </row>
    <row r="20" spans="1:7" x14ac:dyDescent="0.55000000000000004">
      <c r="A20" s="5">
        <v>14</v>
      </c>
      <c r="B20" s="15">
        <f t="shared" si="0"/>
        <v>4784.8500000000004</v>
      </c>
      <c r="C20" s="21">
        <f t="shared" si="1"/>
        <v>107890.3</v>
      </c>
      <c r="D20" s="21">
        <f t="shared" si="2"/>
        <v>13826.199999999997</v>
      </c>
      <c r="E20" s="21">
        <f>MAX($D$6:D20)</f>
        <v>13826.199999999997</v>
      </c>
    </row>
    <row r="21" spans="1:7" x14ac:dyDescent="0.55000000000000004">
      <c r="A21" s="5">
        <v>15</v>
      </c>
      <c r="B21" s="15">
        <f t="shared" si="0"/>
        <v>5639.2833333333338</v>
      </c>
      <c r="C21" s="21">
        <f t="shared" si="1"/>
        <v>123604.2</v>
      </c>
      <c r="D21" s="21">
        <f t="shared" si="2"/>
        <v>15713.899999999994</v>
      </c>
      <c r="E21" s="21">
        <f>MAX($D$6:D21)</f>
        <v>15713.899999999994</v>
      </c>
    </row>
    <row r="22" spans="1:7" x14ac:dyDescent="0.55000000000000004">
      <c r="A22" s="5">
        <v>16</v>
      </c>
      <c r="B22" s="15">
        <f t="shared" si="0"/>
        <v>6616.7666666666664</v>
      </c>
      <c r="C22" s="21">
        <f t="shared" si="1"/>
        <v>141454.39999999999</v>
      </c>
      <c r="D22" s="21">
        <f t="shared" si="2"/>
        <v>17850.199999999997</v>
      </c>
      <c r="E22" s="21">
        <f>MAX($D$6:D22)</f>
        <v>17850.199999999997</v>
      </c>
    </row>
    <row r="23" spans="1:7" x14ac:dyDescent="0.55000000000000004">
      <c r="A23" s="5">
        <v>17</v>
      </c>
      <c r="B23" s="15">
        <f t="shared" si="0"/>
        <v>7733.333333333333</v>
      </c>
      <c r="C23" s="21">
        <f t="shared" si="1"/>
        <v>161719.29999999999</v>
      </c>
      <c r="D23" s="21">
        <f t="shared" si="2"/>
        <v>20264.899999999994</v>
      </c>
      <c r="E23" s="21">
        <f>MAX($D$6:D23)</f>
        <v>20264.899999999994</v>
      </c>
    </row>
    <row r="24" spans="1:7" x14ac:dyDescent="0.55000000000000004">
      <c r="A24" s="5">
        <v>18</v>
      </c>
      <c r="B24" s="15">
        <f t="shared" si="0"/>
        <v>9007.0666666666675</v>
      </c>
      <c r="C24" s="21">
        <f t="shared" si="1"/>
        <v>184712.7</v>
      </c>
      <c r="D24" s="21">
        <f t="shared" si="2"/>
        <v>22993.400000000023</v>
      </c>
      <c r="E24" s="21">
        <f>MAX($D$6:D24)</f>
        <v>22993.400000000023</v>
      </c>
    </row>
    <row r="25" spans="1:7" x14ac:dyDescent="0.55000000000000004">
      <c r="A25" s="5">
        <v>19</v>
      </c>
      <c r="B25" s="15">
        <f t="shared" si="0"/>
        <v>10458.200000000001</v>
      </c>
      <c r="C25" s="21">
        <f t="shared" si="1"/>
        <v>210786</v>
      </c>
      <c r="D25" s="21">
        <f t="shared" si="2"/>
        <v>26073.299999999988</v>
      </c>
      <c r="E25" s="21">
        <f>MAX($D$6:D25)</f>
        <v>26073.299999999988</v>
      </c>
    </row>
    <row r="26" spans="1:7" x14ac:dyDescent="0.55000000000000004">
      <c r="A26" s="5">
        <v>20</v>
      </c>
      <c r="B26" s="15">
        <f t="shared" si="0"/>
        <v>12109.5</v>
      </c>
      <c r="C26" s="21">
        <f t="shared" si="1"/>
        <v>240334.4</v>
      </c>
      <c r="D26" s="21">
        <f t="shared" si="2"/>
        <v>29548.399999999994</v>
      </c>
      <c r="E26" s="21">
        <f>MAX($D$6:D26)</f>
        <v>29548.399999999994</v>
      </c>
    </row>
    <row r="27" spans="1:7" x14ac:dyDescent="0.55000000000000004">
      <c r="A27" s="27" t="s">
        <v>154</v>
      </c>
      <c r="D27" s="28">
        <f>SUMPRODUCT((E6:E26&lt;=TOM_PRICE)*1)-1</f>
        <v>10</v>
      </c>
    </row>
    <row r="29" spans="1:7" x14ac:dyDescent="0.55000000000000004">
      <c r="A29" s="31" t="s">
        <v>155</v>
      </c>
      <c r="B29" s="30"/>
      <c r="C29" s="30"/>
      <c r="D29" s="30"/>
      <c r="E29" s="30"/>
      <c r="F29" s="30"/>
      <c r="G29" s="30"/>
    </row>
    <row r="30" spans="1:7" x14ac:dyDescent="0.55000000000000004">
      <c r="A30" s="1" t="s">
        <v>149</v>
      </c>
      <c r="B30" s="1" t="s">
        <v>150</v>
      </c>
      <c r="C30" s="1" t="s">
        <v>151</v>
      </c>
      <c r="D30" s="1" t="s">
        <v>152</v>
      </c>
      <c r="E30" s="1" t="s">
        <v>153</v>
      </c>
      <c r="F30" s="1"/>
      <c r="G30" s="1"/>
    </row>
    <row r="31" spans="1:7" x14ac:dyDescent="0.55000000000000004">
      <c r="A31" s="5">
        <v>0</v>
      </c>
      <c r="B31" s="15">
        <f t="shared" ref="B31:B51" si="3">ROUND(A31*CAR_HRS*WEEKS*(1+CAR_DIM_PCT)^A31*60,0)/60</f>
        <v>0</v>
      </c>
      <c r="C31" s="21">
        <f t="shared" ref="C31:C51" si="4">ROUND(IF(B31&lt;=FARMER_HRS_CAP,B31*FARMER_RATE,FARMER_HRS_CAP*FARMER_RATE+(B31-FARMER_HRS_CAP)*TEMP_RATE)+A31*CAR_FERT_COST,1)</f>
        <v>0</v>
      </c>
      <c r="D31" s="21">
        <v>0</v>
      </c>
      <c r="E31" s="21">
        <f>MAX($D$31:D31)</f>
        <v>0</v>
      </c>
    </row>
    <row r="32" spans="1:7" x14ac:dyDescent="0.55000000000000004">
      <c r="A32" s="5">
        <v>1</v>
      </c>
      <c r="B32" s="15">
        <f t="shared" si="3"/>
        <v>30.75</v>
      </c>
      <c r="C32" s="21">
        <f t="shared" si="4"/>
        <v>1507.7</v>
      </c>
      <c r="D32" s="21">
        <f t="shared" ref="D32:D51" si="5">C32-C31</f>
        <v>1507.7</v>
      </c>
      <c r="E32" s="21">
        <f>MAX($D$31:D32)</f>
        <v>1507.7</v>
      </c>
    </row>
    <row r="33" spans="1:5" x14ac:dyDescent="0.55000000000000004">
      <c r="A33" s="5">
        <v>2</v>
      </c>
      <c r="B33" s="15">
        <f t="shared" si="3"/>
        <v>63.033333333333331</v>
      </c>
      <c r="C33" s="21">
        <f t="shared" si="4"/>
        <v>3068.7</v>
      </c>
      <c r="D33" s="21">
        <f t="shared" si="5"/>
        <v>1560.9999999999998</v>
      </c>
      <c r="E33" s="21">
        <f>MAX($D$31:D33)</f>
        <v>1560.9999999999998</v>
      </c>
    </row>
    <row r="34" spans="1:5" x14ac:dyDescent="0.55000000000000004">
      <c r="A34" s="5">
        <v>3</v>
      </c>
      <c r="B34" s="15">
        <f t="shared" si="3"/>
        <v>96.916666666666671</v>
      </c>
      <c r="C34" s="21">
        <f t="shared" si="4"/>
        <v>4685.2</v>
      </c>
      <c r="D34" s="21">
        <f t="shared" si="5"/>
        <v>1616.5</v>
      </c>
      <c r="E34" s="21">
        <f>MAX($D$31:D34)</f>
        <v>1616.5</v>
      </c>
    </row>
    <row r="35" spans="1:5" x14ac:dyDescent="0.55000000000000004">
      <c r="A35" s="5">
        <v>4</v>
      </c>
      <c r="B35" s="15">
        <f t="shared" si="3"/>
        <v>132.44999999999999</v>
      </c>
      <c r="C35" s="21">
        <f t="shared" si="4"/>
        <v>6359</v>
      </c>
      <c r="D35" s="21">
        <f t="shared" si="5"/>
        <v>1673.8000000000002</v>
      </c>
      <c r="E35" s="21">
        <f>MAX($D$31:D35)</f>
        <v>1673.8000000000002</v>
      </c>
    </row>
    <row r="36" spans="1:5" x14ac:dyDescent="0.55000000000000004">
      <c r="A36" s="5">
        <v>5</v>
      </c>
      <c r="B36" s="15">
        <f t="shared" si="3"/>
        <v>169.71666666666667</v>
      </c>
      <c r="C36" s="21">
        <f t="shared" si="4"/>
        <v>8092.9</v>
      </c>
      <c r="D36" s="21">
        <f t="shared" si="5"/>
        <v>1733.8999999999996</v>
      </c>
      <c r="E36" s="21">
        <f>MAX($D$31:D36)</f>
        <v>1733.8999999999996</v>
      </c>
    </row>
    <row r="37" spans="1:5" x14ac:dyDescent="0.55000000000000004">
      <c r="A37" s="5">
        <v>6</v>
      </c>
      <c r="B37" s="15">
        <f t="shared" si="3"/>
        <v>208.75</v>
      </c>
      <c r="C37" s="21">
        <f t="shared" si="4"/>
        <v>9888.2999999999993</v>
      </c>
      <c r="D37" s="21">
        <f t="shared" si="5"/>
        <v>1795.3999999999996</v>
      </c>
      <c r="E37" s="21">
        <f>MAX($D$31:D37)</f>
        <v>1795.3999999999996</v>
      </c>
    </row>
    <row r="38" spans="1:5" x14ac:dyDescent="0.55000000000000004">
      <c r="A38" s="5">
        <v>7</v>
      </c>
      <c r="B38" s="15">
        <f t="shared" si="3"/>
        <v>249.61666666666667</v>
      </c>
      <c r="C38" s="21">
        <f t="shared" si="4"/>
        <v>11747.2</v>
      </c>
      <c r="D38" s="21">
        <f t="shared" si="5"/>
        <v>1858.9000000000015</v>
      </c>
      <c r="E38" s="21">
        <f>MAX($D$31:D38)</f>
        <v>1858.9000000000015</v>
      </c>
    </row>
    <row r="39" spans="1:5" x14ac:dyDescent="0.55000000000000004">
      <c r="A39" s="5">
        <v>8</v>
      </c>
      <c r="B39" s="15">
        <f t="shared" si="3"/>
        <v>292.41666666666669</v>
      </c>
      <c r="C39" s="21">
        <f t="shared" si="4"/>
        <v>13673.4</v>
      </c>
      <c r="D39" s="21">
        <f t="shared" si="5"/>
        <v>1926.1999999999989</v>
      </c>
      <c r="E39" s="21">
        <f>MAX($D$31:D39)</f>
        <v>1926.1999999999989</v>
      </c>
    </row>
    <row r="40" spans="1:5" x14ac:dyDescent="0.55000000000000004">
      <c r="A40" s="5">
        <v>9</v>
      </c>
      <c r="B40" s="15">
        <f t="shared" si="3"/>
        <v>337.2</v>
      </c>
      <c r="C40" s="21">
        <f t="shared" si="4"/>
        <v>15668.3</v>
      </c>
      <c r="D40" s="21">
        <f t="shared" si="5"/>
        <v>1994.8999999999996</v>
      </c>
      <c r="E40" s="21">
        <f>MAX($D$31:D40)</f>
        <v>1994.8999999999996</v>
      </c>
    </row>
    <row r="41" spans="1:5" x14ac:dyDescent="0.55000000000000004">
      <c r="A41" s="5">
        <v>10</v>
      </c>
      <c r="B41" s="15">
        <f t="shared" si="3"/>
        <v>384.03333333333336</v>
      </c>
      <c r="C41" s="21">
        <f t="shared" si="4"/>
        <v>17734.5</v>
      </c>
      <c r="D41" s="21">
        <f t="shared" si="5"/>
        <v>2066.2000000000007</v>
      </c>
      <c r="E41" s="21">
        <f>MAX($D$31:D41)</f>
        <v>2066.2000000000007</v>
      </c>
    </row>
    <row r="42" spans="1:5" x14ac:dyDescent="0.55000000000000004">
      <c r="A42" s="5">
        <v>11</v>
      </c>
      <c r="B42" s="15">
        <f t="shared" si="3"/>
        <v>432.98333333333335</v>
      </c>
      <c r="C42" s="21">
        <f t="shared" si="4"/>
        <v>19874.099999999999</v>
      </c>
      <c r="D42" s="21">
        <f t="shared" si="5"/>
        <v>2139.5999999999985</v>
      </c>
      <c r="E42" s="21">
        <f>MAX($D$31:D42)</f>
        <v>2139.5999999999985</v>
      </c>
    </row>
    <row r="43" spans="1:5" x14ac:dyDescent="0.55000000000000004">
      <c r="A43" s="5">
        <v>12</v>
      </c>
      <c r="B43" s="15">
        <f t="shared" si="3"/>
        <v>484.16666666666669</v>
      </c>
      <c r="C43" s="21">
        <f t="shared" si="4"/>
        <v>22091.3</v>
      </c>
      <c r="D43" s="21">
        <f t="shared" si="5"/>
        <v>2217.2000000000007</v>
      </c>
      <c r="E43" s="21">
        <f>MAX($D$31:D43)</f>
        <v>2217.2000000000007</v>
      </c>
    </row>
    <row r="44" spans="1:5" x14ac:dyDescent="0.55000000000000004">
      <c r="A44" s="5">
        <v>13</v>
      </c>
      <c r="B44" s="15">
        <f t="shared" si="3"/>
        <v>537.61666666666667</v>
      </c>
      <c r="C44" s="21">
        <f t="shared" si="4"/>
        <v>24387.200000000001</v>
      </c>
      <c r="D44" s="21">
        <f t="shared" si="5"/>
        <v>2295.9000000000015</v>
      </c>
      <c r="E44" s="21">
        <f>MAX($D$31:D44)</f>
        <v>2295.9000000000015</v>
      </c>
    </row>
    <row r="45" spans="1:5" x14ac:dyDescent="0.55000000000000004">
      <c r="A45" s="5">
        <v>14</v>
      </c>
      <c r="B45" s="15">
        <f t="shared" si="3"/>
        <v>593.45000000000005</v>
      </c>
      <c r="C45" s="21">
        <f t="shared" si="4"/>
        <v>26765.9</v>
      </c>
      <c r="D45" s="21">
        <f t="shared" si="5"/>
        <v>2378.7000000000007</v>
      </c>
      <c r="E45" s="21">
        <f>MAX($D$31:D45)</f>
        <v>2378.7000000000007</v>
      </c>
    </row>
    <row r="46" spans="1:5" x14ac:dyDescent="0.55000000000000004">
      <c r="A46" s="5">
        <v>15</v>
      </c>
      <c r="B46" s="15">
        <f t="shared" si="3"/>
        <v>651.73333333333335</v>
      </c>
      <c r="C46" s="21">
        <f t="shared" si="4"/>
        <v>29229.599999999999</v>
      </c>
      <c r="D46" s="21">
        <f t="shared" si="5"/>
        <v>2463.6999999999971</v>
      </c>
      <c r="E46" s="21">
        <f>MAX($D$31:D46)</f>
        <v>2463.6999999999971</v>
      </c>
    </row>
    <row r="47" spans="1:5" x14ac:dyDescent="0.55000000000000004">
      <c r="A47" s="5">
        <v>16</v>
      </c>
      <c r="B47" s="15">
        <f t="shared" si="3"/>
        <v>712.56666666666672</v>
      </c>
      <c r="C47" s="21">
        <f t="shared" si="4"/>
        <v>31781.9</v>
      </c>
      <c r="D47" s="21">
        <f t="shared" si="5"/>
        <v>2552.3000000000029</v>
      </c>
      <c r="E47" s="21">
        <f>MAX($D$31:D47)</f>
        <v>2552.3000000000029</v>
      </c>
    </row>
    <row r="48" spans="1:5" x14ac:dyDescent="0.55000000000000004">
      <c r="A48" s="5">
        <v>17</v>
      </c>
      <c r="B48" s="15">
        <f t="shared" si="3"/>
        <v>776.0333333333333</v>
      </c>
      <c r="C48" s="21">
        <f t="shared" si="4"/>
        <v>33452.800000000003</v>
      </c>
      <c r="D48" s="21">
        <f t="shared" si="5"/>
        <v>1670.9000000000015</v>
      </c>
      <c r="E48" s="21">
        <f>MAX($D$31:D48)</f>
        <v>2552.3000000000029</v>
      </c>
    </row>
    <row r="49" spans="1:7" x14ac:dyDescent="0.55000000000000004">
      <c r="A49" s="5">
        <v>18</v>
      </c>
      <c r="B49" s="15">
        <f t="shared" si="3"/>
        <v>842.2166666666667</v>
      </c>
      <c r="C49" s="21">
        <f t="shared" si="4"/>
        <v>35041.800000000003</v>
      </c>
      <c r="D49" s="21">
        <f t="shared" si="5"/>
        <v>1589</v>
      </c>
      <c r="E49" s="21">
        <f>MAX($D$31:D49)</f>
        <v>2552.3000000000029</v>
      </c>
    </row>
    <row r="50" spans="1:7" x14ac:dyDescent="0.55000000000000004">
      <c r="A50" s="5">
        <v>19</v>
      </c>
      <c r="B50" s="15">
        <f t="shared" si="3"/>
        <v>911.23333333333335</v>
      </c>
      <c r="C50" s="21">
        <f t="shared" si="4"/>
        <v>36680</v>
      </c>
      <c r="D50" s="21">
        <f t="shared" si="5"/>
        <v>1638.1999999999971</v>
      </c>
      <c r="E50" s="21">
        <f>MAX($D$31:D50)</f>
        <v>2552.3000000000029</v>
      </c>
    </row>
    <row r="51" spans="1:7" x14ac:dyDescent="0.55000000000000004">
      <c r="A51" s="5">
        <v>20</v>
      </c>
      <c r="B51" s="15">
        <f t="shared" si="3"/>
        <v>983.16666666666663</v>
      </c>
      <c r="C51" s="21">
        <f t="shared" si="4"/>
        <v>38368.9</v>
      </c>
      <c r="D51" s="21">
        <f t="shared" si="5"/>
        <v>1688.9000000000015</v>
      </c>
      <c r="E51" s="21">
        <f>MAX($D$31:D51)</f>
        <v>2552.3000000000029</v>
      </c>
    </row>
    <row r="52" spans="1:7" x14ac:dyDescent="0.55000000000000004">
      <c r="A52" s="27" t="s">
        <v>154</v>
      </c>
      <c r="D52" s="28">
        <f>SUMPRODUCT((E31:E51&lt;=CAR_PRICE)*1)-1</f>
        <v>10</v>
      </c>
    </row>
    <row r="54" spans="1:7" x14ac:dyDescent="0.55000000000000004">
      <c r="A54" s="31" t="s">
        <v>156</v>
      </c>
      <c r="B54" s="30"/>
      <c r="C54" s="30"/>
      <c r="D54" s="30"/>
      <c r="E54" s="30"/>
      <c r="F54" s="30"/>
      <c r="G54" s="30"/>
    </row>
    <row r="55" spans="1:7" x14ac:dyDescent="0.55000000000000004">
      <c r="A55" s="1" t="s">
        <v>149</v>
      </c>
      <c r="B55" s="1" t="s">
        <v>150</v>
      </c>
      <c r="C55" s="1" t="s">
        <v>151</v>
      </c>
      <c r="D55" s="1" t="s">
        <v>152</v>
      </c>
      <c r="E55" s="1" t="s">
        <v>153</v>
      </c>
      <c r="F55" s="1"/>
      <c r="G55" s="1"/>
    </row>
    <row r="56" spans="1:7" x14ac:dyDescent="0.55000000000000004">
      <c r="A56" s="5">
        <v>0</v>
      </c>
      <c r="B56" s="15">
        <f t="shared" ref="B56:B86" si="6">ROUND(A56*MES_HRS*WEEKS*(1+MES_DIM_PCT)^A56*60,0)/60</f>
        <v>0</v>
      </c>
      <c r="C56" s="21">
        <f t="shared" ref="C56:C86" si="7">ROUND(IF(B56&lt;=FARMER_HRS_CAP,B56*FARMER_RATE,FARMER_HRS_CAP*FARMER_RATE+(B56-FARMER_HRS_CAP)*TEMP_RATE)+A56*MES_FERT_COST,1)</f>
        <v>0</v>
      </c>
      <c r="D56" s="21">
        <v>0</v>
      </c>
      <c r="E56" s="21">
        <f>MAX($D$56:D56)</f>
        <v>0</v>
      </c>
    </row>
    <row r="57" spans="1:7" x14ac:dyDescent="0.55000000000000004">
      <c r="A57" s="5">
        <v>1</v>
      </c>
      <c r="B57" s="15">
        <f t="shared" si="6"/>
        <v>45.56666666666667</v>
      </c>
      <c r="C57" s="21">
        <f t="shared" si="7"/>
        <v>2462.1999999999998</v>
      </c>
      <c r="D57" s="21">
        <f t="shared" ref="D57:D86" si="8">C57-C56</f>
        <v>2462.1999999999998</v>
      </c>
      <c r="E57" s="21">
        <f>MAX($D$56:D57)</f>
        <v>2462.1999999999998</v>
      </c>
    </row>
    <row r="58" spans="1:7" x14ac:dyDescent="0.55000000000000004">
      <c r="A58" s="5">
        <v>2</v>
      </c>
      <c r="B58" s="15">
        <f t="shared" si="6"/>
        <v>92.266666666666666</v>
      </c>
      <c r="C58" s="21">
        <f t="shared" si="7"/>
        <v>4963.7</v>
      </c>
      <c r="D58" s="21">
        <f t="shared" si="8"/>
        <v>2501.5</v>
      </c>
      <c r="E58" s="21">
        <f>MAX($D$56:D58)</f>
        <v>2501.5</v>
      </c>
    </row>
    <row r="59" spans="1:7" x14ac:dyDescent="0.55000000000000004">
      <c r="A59" s="5">
        <v>3</v>
      </c>
      <c r="B59" s="15">
        <f t="shared" si="6"/>
        <v>140.13333333333333</v>
      </c>
      <c r="C59" s="21">
        <f t="shared" si="7"/>
        <v>7505.7</v>
      </c>
      <c r="D59" s="21">
        <f t="shared" si="8"/>
        <v>2542</v>
      </c>
      <c r="E59" s="21">
        <f>MAX($D$56:D59)</f>
        <v>2542</v>
      </c>
    </row>
    <row r="60" spans="1:7" x14ac:dyDescent="0.55000000000000004">
      <c r="A60" s="5">
        <v>4</v>
      </c>
      <c r="B60" s="15">
        <f t="shared" si="6"/>
        <v>189.16666666666666</v>
      </c>
      <c r="C60" s="21">
        <f t="shared" si="7"/>
        <v>10088.299999999999</v>
      </c>
      <c r="D60" s="21">
        <f t="shared" si="8"/>
        <v>2582.5999999999995</v>
      </c>
      <c r="E60" s="21">
        <f>MAX($D$56:D60)</f>
        <v>2582.5999999999995</v>
      </c>
    </row>
    <row r="61" spans="1:7" x14ac:dyDescent="0.55000000000000004">
      <c r="A61" s="5">
        <v>5</v>
      </c>
      <c r="B61" s="15">
        <f t="shared" si="6"/>
        <v>239.41666666666666</v>
      </c>
      <c r="C61" s="21">
        <f t="shared" si="7"/>
        <v>12713.1</v>
      </c>
      <c r="D61" s="21">
        <f t="shared" si="8"/>
        <v>2624.8000000000011</v>
      </c>
      <c r="E61" s="21">
        <f>MAX($D$56:D61)</f>
        <v>2624.8000000000011</v>
      </c>
    </row>
    <row r="62" spans="1:7" x14ac:dyDescent="0.55000000000000004">
      <c r="A62" s="5">
        <v>6</v>
      </c>
      <c r="B62" s="15">
        <f t="shared" si="6"/>
        <v>290.89999999999998</v>
      </c>
      <c r="C62" s="21">
        <f t="shared" si="7"/>
        <v>15380.7</v>
      </c>
      <c r="D62" s="21">
        <f t="shared" si="8"/>
        <v>2667.6000000000004</v>
      </c>
      <c r="E62" s="21">
        <f>MAX($D$56:D62)</f>
        <v>2667.6000000000004</v>
      </c>
    </row>
    <row r="63" spans="1:7" x14ac:dyDescent="0.55000000000000004">
      <c r="A63" s="5">
        <v>7</v>
      </c>
      <c r="B63" s="15">
        <f t="shared" si="6"/>
        <v>343.61666666666667</v>
      </c>
      <c r="C63" s="21">
        <f t="shared" si="7"/>
        <v>18091.099999999999</v>
      </c>
      <c r="D63" s="21">
        <f t="shared" si="8"/>
        <v>2710.3999999999978</v>
      </c>
      <c r="E63" s="21">
        <f>MAX($D$56:D63)</f>
        <v>2710.3999999999978</v>
      </c>
    </row>
    <row r="64" spans="1:7" x14ac:dyDescent="0.55000000000000004">
      <c r="A64" s="5">
        <v>8</v>
      </c>
      <c r="B64" s="15">
        <f t="shared" si="6"/>
        <v>397.61666666666667</v>
      </c>
      <c r="C64" s="21">
        <f t="shared" si="7"/>
        <v>20846.099999999999</v>
      </c>
      <c r="D64" s="21">
        <f t="shared" si="8"/>
        <v>2755</v>
      </c>
      <c r="E64" s="21">
        <f>MAX($D$56:D64)</f>
        <v>2755</v>
      </c>
    </row>
    <row r="65" spans="1:5" x14ac:dyDescent="0.55000000000000004">
      <c r="A65" s="5">
        <v>9</v>
      </c>
      <c r="B65" s="15">
        <f t="shared" si="6"/>
        <v>452.9</v>
      </c>
      <c r="C65" s="21">
        <f t="shared" si="7"/>
        <v>23645.7</v>
      </c>
      <c r="D65" s="21">
        <f t="shared" si="8"/>
        <v>2799.6000000000022</v>
      </c>
      <c r="E65" s="21">
        <f>MAX($D$56:D65)</f>
        <v>2799.6000000000022</v>
      </c>
    </row>
    <row r="66" spans="1:5" x14ac:dyDescent="0.55000000000000004">
      <c r="A66" s="5">
        <v>10</v>
      </c>
      <c r="B66" s="15">
        <f t="shared" si="6"/>
        <v>509.51666666666665</v>
      </c>
      <c r="C66" s="21">
        <f t="shared" si="7"/>
        <v>26491.599999999999</v>
      </c>
      <c r="D66" s="21">
        <f t="shared" si="8"/>
        <v>2845.8999999999978</v>
      </c>
      <c r="E66" s="21">
        <f>MAX($D$56:D66)</f>
        <v>2845.8999999999978</v>
      </c>
    </row>
    <row r="67" spans="1:5" x14ac:dyDescent="0.55000000000000004">
      <c r="A67" s="5">
        <v>11</v>
      </c>
      <c r="B67" s="15">
        <f t="shared" si="6"/>
        <v>567.48333333333335</v>
      </c>
      <c r="C67" s="21">
        <f t="shared" si="7"/>
        <v>29384.3</v>
      </c>
      <c r="D67" s="21">
        <f t="shared" si="8"/>
        <v>2892.7000000000007</v>
      </c>
      <c r="E67" s="21">
        <f>MAX($D$56:D67)</f>
        <v>2892.7000000000007</v>
      </c>
    </row>
    <row r="68" spans="1:5" x14ac:dyDescent="0.55000000000000004">
      <c r="A68" s="5">
        <v>12</v>
      </c>
      <c r="B68" s="15">
        <f t="shared" si="6"/>
        <v>626.79999999999995</v>
      </c>
      <c r="C68" s="21">
        <f t="shared" si="7"/>
        <v>32323.9</v>
      </c>
      <c r="D68" s="21">
        <f t="shared" si="8"/>
        <v>2939.6000000000022</v>
      </c>
      <c r="E68" s="21">
        <f>MAX($D$56:D68)</f>
        <v>2939.6000000000022</v>
      </c>
    </row>
    <row r="69" spans="1:5" x14ac:dyDescent="0.55000000000000004">
      <c r="A69" s="5">
        <v>13</v>
      </c>
      <c r="B69" s="15">
        <f t="shared" si="6"/>
        <v>687.5333333333333</v>
      </c>
      <c r="C69" s="21">
        <f t="shared" si="7"/>
        <v>35312.699999999997</v>
      </c>
      <c r="D69" s="21">
        <f t="shared" si="8"/>
        <v>2988.7999999999956</v>
      </c>
      <c r="E69" s="21">
        <f>MAX($D$56:D69)</f>
        <v>2988.7999999999956</v>
      </c>
    </row>
    <row r="70" spans="1:5" x14ac:dyDescent="0.55000000000000004">
      <c r="A70" s="5">
        <v>14</v>
      </c>
      <c r="B70" s="15">
        <f t="shared" si="6"/>
        <v>749.66666666666663</v>
      </c>
      <c r="C70" s="21">
        <f t="shared" si="7"/>
        <v>37835</v>
      </c>
      <c r="D70" s="21">
        <f t="shared" si="8"/>
        <v>2522.3000000000029</v>
      </c>
      <c r="E70" s="21">
        <f>MAX($D$56:D70)</f>
        <v>2988.7999999999956</v>
      </c>
    </row>
    <row r="71" spans="1:5" x14ac:dyDescent="0.55000000000000004">
      <c r="A71" s="5">
        <v>15</v>
      </c>
      <c r="B71" s="15">
        <f t="shared" si="6"/>
        <v>813.26666666666665</v>
      </c>
      <c r="C71" s="21">
        <f t="shared" si="7"/>
        <v>39819.199999999997</v>
      </c>
      <c r="D71" s="21">
        <f t="shared" si="8"/>
        <v>1984.1999999999971</v>
      </c>
      <c r="E71" s="21">
        <f>MAX($D$56:D71)</f>
        <v>2988.7999999999956</v>
      </c>
    </row>
    <row r="72" spans="1:5" x14ac:dyDescent="0.55000000000000004">
      <c r="A72" s="5">
        <v>16</v>
      </c>
      <c r="B72" s="15">
        <f t="shared" si="6"/>
        <v>878.31666666666672</v>
      </c>
      <c r="C72" s="21">
        <f t="shared" si="7"/>
        <v>41828.6</v>
      </c>
      <c r="D72" s="21">
        <f t="shared" si="8"/>
        <v>2009.4000000000015</v>
      </c>
      <c r="E72" s="21">
        <f>MAX($D$56:D72)</f>
        <v>2988.7999999999956</v>
      </c>
    </row>
    <row r="73" spans="1:5" x14ac:dyDescent="0.55000000000000004">
      <c r="A73" s="5">
        <v>17</v>
      </c>
      <c r="B73" s="15">
        <f t="shared" si="6"/>
        <v>944.88333333333333</v>
      </c>
      <c r="C73" s="21">
        <f t="shared" si="7"/>
        <v>43864.2</v>
      </c>
      <c r="D73" s="21">
        <f t="shared" si="8"/>
        <v>2035.5999999999985</v>
      </c>
      <c r="E73" s="21">
        <f>MAX($D$56:D73)</f>
        <v>2988.7999999999956</v>
      </c>
    </row>
    <row r="74" spans="1:5" x14ac:dyDescent="0.55000000000000004">
      <c r="A74" s="5">
        <v>18</v>
      </c>
      <c r="B74" s="15">
        <f t="shared" si="6"/>
        <v>1012.9666666666667</v>
      </c>
      <c r="C74" s="21">
        <f t="shared" si="7"/>
        <v>45926.2</v>
      </c>
      <c r="D74" s="21">
        <f t="shared" si="8"/>
        <v>2062</v>
      </c>
      <c r="E74" s="21">
        <f>MAX($D$56:D74)</f>
        <v>2988.7999999999956</v>
      </c>
    </row>
    <row r="75" spans="1:5" x14ac:dyDescent="0.55000000000000004">
      <c r="A75" s="5">
        <v>19</v>
      </c>
      <c r="B75" s="15">
        <f t="shared" si="6"/>
        <v>1082.6166666666666</v>
      </c>
      <c r="C75" s="21">
        <f t="shared" si="7"/>
        <v>48015.4</v>
      </c>
      <c r="D75" s="21">
        <f t="shared" si="8"/>
        <v>2089.2000000000044</v>
      </c>
      <c r="E75" s="21">
        <f>MAX($D$56:D75)</f>
        <v>2988.7999999999956</v>
      </c>
    </row>
    <row r="76" spans="1:5" x14ac:dyDescent="0.55000000000000004">
      <c r="A76" s="5">
        <v>20</v>
      </c>
      <c r="B76" s="15">
        <f t="shared" si="6"/>
        <v>1153.8333333333333</v>
      </c>
      <c r="C76" s="21">
        <f t="shared" si="7"/>
        <v>50131.8</v>
      </c>
      <c r="D76" s="21">
        <f t="shared" si="8"/>
        <v>2116.4000000000015</v>
      </c>
      <c r="E76" s="21">
        <f>MAX($D$56:D76)</f>
        <v>2988.7999999999956</v>
      </c>
    </row>
    <row r="77" spans="1:5" x14ac:dyDescent="0.55000000000000004">
      <c r="A77" s="5">
        <v>21</v>
      </c>
      <c r="B77" s="15">
        <f t="shared" si="6"/>
        <v>1226.6666666666667</v>
      </c>
      <c r="C77" s="21">
        <f t="shared" si="7"/>
        <v>52276.3</v>
      </c>
      <c r="D77" s="21">
        <f t="shared" si="8"/>
        <v>2144.5</v>
      </c>
      <c r="E77" s="21">
        <f>MAX($D$56:D77)</f>
        <v>2988.7999999999956</v>
      </c>
    </row>
    <row r="78" spans="1:5" x14ac:dyDescent="0.55000000000000004">
      <c r="A78" s="5">
        <v>22</v>
      </c>
      <c r="B78" s="15">
        <f t="shared" si="6"/>
        <v>1301.1500000000001</v>
      </c>
      <c r="C78" s="21">
        <f t="shared" si="7"/>
        <v>54449.4</v>
      </c>
      <c r="D78" s="21">
        <f t="shared" si="8"/>
        <v>2173.0999999999985</v>
      </c>
      <c r="E78" s="21">
        <f>MAX($D$56:D78)</f>
        <v>2988.7999999999956</v>
      </c>
    </row>
    <row r="79" spans="1:5" x14ac:dyDescent="0.55000000000000004">
      <c r="A79" s="5">
        <v>23</v>
      </c>
      <c r="B79" s="15">
        <f t="shared" si="6"/>
        <v>1377.3</v>
      </c>
      <c r="C79" s="21">
        <f t="shared" si="7"/>
        <v>56651.5</v>
      </c>
      <c r="D79" s="21">
        <f t="shared" si="8"/>
        <v>2202.0999999999985</v>
      </c>
      <c r="E79" s="21">
        <f>MAX($D$56:D79)</f>
        <v>2988.7999999999956</v>
      </c>
    </row>
    <row r="80" spans="1:5" x14ac:dyDescent="0.55000000000000004">
      <c r="A80" s="5">
        <v>24</v>
      </c>
      <c r="B80" s="15">
        <f t="shared" si="6"/>
        <v>1455.1333333333334</v>
      </c>
      <c r="C80" s="21">
        <f t="shared" si="7"/>
        <v>58882.7</v>
      </c>
      <c r="D80" s="21">
        <f t="shared" si="8"/>
        <v>2231.1999999999971</v>
      </c>
      <c r="E80" s="21">
        <f>MAX($D$56:D80)</f>
        <v>2988.7999999999956</v>
      </c>
    </row>
    <row r="81" spans="1:5" x14ac:dyDescent="0.55000000000000004">
      <c r="A81" s="5">
        <v>25</v>
      </c>
      <c r="B81" s="15">
        <f t="shared" si="6"/>
        <v>1534.7166666666667</v>
      </c>
      <c r="C81" s="21">
        <f t="shared" si="7"/>
        <v>61144.4</v>
      </c>
      <c r="D81" s="21">
        <f t="shared" si="8"/>
        <v>2261.7000000000044</v>
      </c>
      <c r="E81" s="21">
        <f>MAX($D$56:D81)</f>
        <v>2988.7999999999956</v>
      </c>
    </row>
    <row r="82" spans="1:5" x14ac:dyDescent="0.55000000000000004">
      <c r="A82" s="5">
        <v>26</v>
      </c>
      <c r="B82" s="15">
        <f t="shared" si="6"/>
        <v>1616.05</v>
      </c>
      <c r="C82" s="21">
        <f t="shared" si="7"/>
        <v>63436.4</v>
      </c>
      <c r="D82" s="21">
        <f t="shared" si="8"/>
        <v>2292</v>
      </c>
      <c r="E82" s="21">
        <f>MAX($D$56:D82)</f>
        <v>2988.7999999999956</v>
      </c>
    </row>
    <row r="83" spans="1:5" x14ac:dyDescent="0.55000000000000004">
      <c r="A83" s="5">
        <v>27</v>
      </c>
      <c r="B83" s="15">
        <f t="shared" si="6"/>
        <v>1699.1833333333334</v>
      </c>
      <c r="C83" s="21">
        <f t="shared" si="7"/>
        <v>65759.7</v>
      </c>
      <c r="D83" s="21">
        <f t="shared" si="8"/>
        <v>2323.2999999999956</v>
      </c>
      <c r="E83" s="21">
        <f>MAX($D$56:D83)</f>
        <v>2988.7999999999956</v>
      </c>
    </row>
    <row r="84" spans="1:5" x14ac:dyDescent="0.55000000000000004">
      <c r="A84" s="5">
        <v>28</v>
      </c>
      <c r="B84" s="15">
        <f t="shared" si="6"/>
        <v>1784.15</v>
      </c>
      <c r="C84" s="21">
        <f t="shared" si="7"/>
        <v>68114.8</v>
      </c>
      <c r="D84" s="21">
        <f t="shared" si="8"/>
        <v>2355.1000000000058</v>
      </c>
      <c r="E84" s="21">
        <f>MAX($D$56:D84)</f>
        <v>2988.7999999999956</v>
      </c>
    </row>
    <row r="85" spans="1:5" x14ac:dyDescent="0.55000000000000004">
      <c r="A85" s="5">
        <v>29</v>
      </c>
      <c r="B85" s="15">
        <f t="shared" si="6"/>
        <v>1870.9666666666667</v>
      </c>
      <c r="C85" s="21">
        <f t="shared" si="7"/>
        <v>70502.100000000006</v>
      </c>
      <c r="D85" s="21">
        <f t="shared" si="8"/>
        <v>2387.3000000000029</v>
      </c>
      <c r="E85" s="21">
        <f>MAX($D$56:D85)</f>
        <v>2988.7999999999956</v>
      </c>
    </row>
    <row r="86" spans="1:5" x14ac:dyDescent="0.55000000000000004">
      <c r="A86" s="5">
        <v>30</v>
      </c>
      <c r="B86" s="15">
        <f t="shared" si="6"/>
        <v>1959.6833333333334</v>
      </c>
      <c r="C86" s="21">
        <f t="shared" si="7"/>
        <v>72922.3</v>
      </c>
      <c r="D86" s="21">
        <f t="shared" si="8"/>
        <v>2420.1999999999971</v>
      </c>
      <c r="E86" s="21">
        <f>MAX($D$56:D86)</f>
        <v>2988.7999999999956</v>
      </c>
    </row>
    <row r="87" spans="1:5" x14ac:dyDescent="0.55000000000000004">
      <c r="A87" s="27" t="s">
        <v>154</v>
      </c>
      <c r="D87" s="28">
        <f>SUMPRODUCT((E56:E86&lt;=MES_PRICE)*1)-1</f>
        <v>6</v>
      </c>
    </row>
  </sheetData>
  <mergeCells count="5">
    <mergeCell ref="A1:G1"/>
    <mergeCell ref="A4:G4"/>
    <mergeCell ref="A54:G54"/>
    <mergeCell ref="A2:G2"/>
    <mergeCell ref="A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defaultRowHeight="14.4" x14ac:dyDescent="0.55000000000000004"/>
  <cols>
    <col min="1" max="1" width="30" customWidth="1"/>
    <col min="2" max="2" width="80" customWidth="1"/>
  </cols>
  <sheetData>
    <row r="1" spans="1:2" x14ac:dyDescent="0.55000000000000004">
      <c r="A1" s="27" t="s">
        <v>157</v>
      </c>
      <c r="B1" s="13"/>
    </row>
    <row r="2" spans="1:2" x14ac:dyDescent="0.55000000000000004">
      <c r="A2" s="13"/>
      <c r="B2" s="13"/>
    </row>
    <row r="3" spans="1:2" x14ac:dyDescent="0.55000000000000004">
      <c r="A3" s="27" t="s">
        <v>158</v>
      </c>
      <c r="B3" s="13" t="s">
        <v>159</v>
      </c>
    </row>
    <row r="4" spans="1:2" x14ac:dyDescent="0.55000000000000004">
      <c r="A4" s="13" t="s">
        <v>160</v>
      </c>
      <c r="B4" s="13" t="s">
        <v>161</v>
      </c>
    </row>
    <row r="5" spans="1:2" x14ac:dyDescent="0.55000000000000004">
      <c r="A5" s="27" t="s">
        <v>162</v>
      </c>
      <c r="B5" s="13" t="s">
        <v>163</v>
      </c>
    </row>
    <row r="6" spans="1:2" x14ac:dyDescent="0.55000000000000004">
      <c r="A6" s="13"/>
      <c r="B6" s="13"/>
    </row>
    <row r="7" spans="1:2" x14ac:dyDescent="0.55000000000000004">
      <c r="A7" s="27" t="s">
        <v>164</v>
      </c>
      <c r="B7" s="13"/>
    </row>
    <row r="8" spans="1:2" x14ac:dyDescent="0.55000000000000004">
      <c r="A8" s="13" t="s">
        <v>165</v>
      </c>
      <c r="B8" s="13" t="s">
        <v>97</v>
      </c>
    </row>
    <row r="9" spans="1:2" x14ac:dyDescent="0.55000000000000004">
      <c r="A9" s="13" t="s">
        <v>166</v>
      </c>
      <c r="B9" s="13" t="s">
        <v>99</v>
      </c>
    </row>
    <row r="10" spans="1:2" x14ac:dyDescent="0.55000000000000004">
      <c r="A10" s="13" t="s">
        <v>167</v>
      </c>
      <c r="B10" s="13" t="s">
        <v>101</v>
      </c>
    </row>
    <row r="11" spans="1:2" x14ac:dyDescent="0.55000000000000004">
      <c r="A11" s="13" t="s">
        <v>168</v>
      </c>
      <c r="B11" s="13" t="s">
        <v>169</v>
      </c>
    </row>
    <row r="12" spans="1:2" x14ac:dyDescent="0.55000000000000004">
      <c r="A12" s="13" t="s">
        <v>170</v>
      </c>
      <c r="B12" s="13" t="s">
        <v>171</v>
      </c>
    </row>
    <row r="13" spans="1:2" x14ac:dyDescent="0.55000000000000004">
      <c r="A13" s="13" t="s">
        <v>172</v>
      </c>
      <c r="B13" s="13" t="s">
        <v>173</v>
      </c>
    </row>
    <row r="14" spans="1:2" x14ac:dyDescent="0.55000000000000004">
      <c r="A14" s="13" t="s">
        <v>174</v>
      </c>
      <c r="B14" s="13" t="s">
        <v>175</v>
      </c>
    </row>
    <row r="15" spans="1:2" x14ac:dyDescent="0.55000000000000004">
      <c r="A15" s="13"/>
      <c r="B15" s="13"/>
    </row>
    <row r="16" spans="1:2" x14ac:dyDescent="0.55000000000000004">
      <c r="A16" s="13" t="s">
        <v>176</v>
      </c>
      <c r="B16" s="13" t="s">
        <v>177</v>
      </c>
    </row>
    <row r="17" spans="1:2" x14ac:dyDescent="0.55000000000000004">
      <c r="A17" s="13"/>
      <c r="B17" s="13"/>
    </row>
    <row r="18" spans="1:2" x14ac:dyDescent="0.55000000000000004">
      <c r="A18" s="13" t="s">
        <v>178</v>
      </c>
      <c r="B18" s="13"/>
    </row>
    <row r="19" spans="1:2" x14ac:dyDescent="0.55000000000000004">
      <c r="A19" s="13" t="s">
        <v>179</v>
      </c>
      <c r="B19" s="13">
        <v>10</v>
      </c>
    </row>
    <row r="20" spans="1:2" x14ac:dyDescent="0.55000000000000004">
      <c r="A20" s="13" t="s">
        <v>180</v>
      </c>
      <c r="B20" s="13">
        <v>20</v>
      </c>
    </row>
    <row r="21" spans="1:2" x14ac:dyDescent="0.55000000000000004">
      <c r="A21" s="13" t="s">
        <v>181</v>
      </c>
      <c r="B21" s="13">
        <v>30</v>
      </c>
    </row>
    <row r="22" spans="1:2" x14ac:dyDescent="0.55000000000000004">
      <c r="A22" s="13" t="s">
        <v>182</v>
      </c>
      <c r="B22" s="13" t="s">
        <v>183</v>
      </c>
    </row>
    <row r="23" spans="1:2" x14ac:dyDescent="0.55000000000000004">
      <c r="A23" s="13"/>
      <c r="B23" s="13"/>
    </row>
    <row r="24" spans="1:2" x14ac:dyDescent="0.55000000000000004">
      <c r="A24" s="13" t="s">
        <v>184</v>
      </c>
      <c r="B24" s="13" t="s">
        <v>185</v>
      </c>
    </row>
    <row r="25" spans="1:2" x14ac:dyDescent="0.55000000000000004">
      <c r="A25" s="13"/>
      <c r="B25" s="13" t="s">
        <v>186</v>
      </c>
    </row>
    <row r="26" spans="1:2" x14ac:dyDescent="0.55000000000000004">
      <c r="A26" s="13"/>
      <c r="B26" s="13" t="s">
        <v>187</v>
      </c>
    </row>
    <row r="27" spans="1:2" x14ac:dyDescent="0.55000000000000004">
      <c r="A27" s="13"/>
      <c r="B27" s="13" t="s">
        <v>188</v>
      </c>
    </row>
    <row r="28" spans="1:2" x14ac:dyDescent="0.55000000000000004">
      <c r="A28" s="13"/>
      <c r="B28" s="13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41</vt:i4>
      </vt:variant>
    </vt:vector>
  </HeadingPairs>
  <TitlesOfParts>
    <vt:vector size="44" baseType="lpstr">
      <vt:lpstr>Model</vt:lpstr>
      <vt:lpstr>Standalone Diagnostics</vt:lpstr>
      <vt:lpstr>Solver Model</vt:lpstr>
      <vt:lpstr>ALL_VALID</vt:lpstr>
      <vt:lpstr>BEDS_CAR</vt:lpstr>
      <vt:lpstr>BEDS_MES</vt:lpstr>
      <vt:lpstr>BEDS_PLANTED</vt:lpstr>
      <vt:lpstr>BEDS_TOM</vt:lpstr>
      <vt:lpstr>BEDS_TOTAL</vt:lpstr>
      <vt:lpstr>CAR_DIM_PCT</vt:lpstr>
      <vt:lpstr>CAR_FERT_COST</vt:lpstr>
      <vt:lpstr>CAR_HRS</vt:lpstr>
      <vt:lpstr>CAR_MAXBED</vt:lpstr>
      <vt:lpstr>CAR_PRICE</vt:lpstr>
      <vt:lpstr>EXCESS_HRS</vt:lpstr>
      <vt:lpstr>FARMER_COST</vt:lpstr>
      <vt:lpstr>FARMER_HRS_CAP</vt:lpstr>
      <vt:lpstr>FARMER_HRS_USED</vt:lpstr>
      <vt:lpstr>FARMER_RATE</vt:lpstr>
      <vt:lpstr>FERT_COST</vt:lpstr>
      <vt:lpstr>FIXED_COST</vt:lpstr>
      <vt:lpstr>LABOR_COST</vt:lpstr>
      <vt:lpstr>LABOR_HRS_TOTAL</vt:lpstr>
      <vt:lpstr>MAX_FARMER_COST</vt:lpstr>
      <vt:lpstr>MAX_TEMP_WORKER_COST</vt:lpstr>
      <vt:lpstr>MES_DIM_PCT</vt:lpstr>
      <vt:lpstr>MES_FERT_COST</vt:lpstr>
      <vt:lpstr>MES_HRS</vt:lpstr>
      <vt:lpstr>MES_MAXBED</vt:lpstr>
      <vt:lpstr>MES_PRICE</vt:lpstr>
      <vt:lpstr>N_WORKERS_NEEDED</vt:lpstr>
      <vt:lpstr>PROFIT</vt:lpstr>
      <vt:lpstr>TEMP_COST</vt:lpstr>
      <vt:lpstr>TEMP_RATE</vt:lpstr>
      <vt:lpstr>TOM_DIM_PCT</vt:lpstr>
      <vt:lpstr>TOM_FERT_COST</vt:lpstr>
      <vt:lpstr>TOM_HRS</vt:lpstr>
      <vt:lpstr>TOM_MAXBED</vt:lpstr>
      <vt:lpstr>TOM_PRICE</vt:lpstr>
      <vt:lpstr>TOTAL_COST</vt:lpstr>
      <vt:lpstr>TOTAL_REVENUE</vt:lpstr>
      <vt:lpstr>WEEKS</vt:lpstr>
      <vt:lpstr>WORKER_HRS_CAP</vt:lpstr>
      <vt:lpstr>WORKER_MAX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Richie Gaas</cp:lastModifiedBy>
  <dcterms:created xsi:type="dcterms:W3CDTF">2026-09-25T00:25:23Z</dcterms:created>
  <dcterms:modified xsi:type="dcterms:W3CDTF">2026-09-25T00:26:11Z</dcterms:modified>
</cp:coreProperties>
</file>